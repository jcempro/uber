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17abd0086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88d5b9e729ed4c6c"/>
    <x:sheet xmlns:r="http://schemas.openxmlformats.org/officeDocument/2006/relationships" name="Custos" sheetId="2" r:id="R962e70c066ff4268"/>
    <x:sheet xmlns:r="http://schemas.openxmlformats.org/officeDocument/2006/relationships" name="Resultados" sheetId="3" r:id="R9f1ef79169eb4709"/>
    <x:sheet xmlns:r="http://schemas.openxmlformats.org/officeDocument/2006/relationships" name="RotaPro" sheetId="4" r:id="R8b4ad507e8764076"/>
    <x:sheet xmlns:r="http://schemas.openxmlformats.org/officeDocument/2006/relationships" name="Parametros" sheetId="5" r:id="R3c994cfd2a14405e"/>
    <x:sheet xmlns:r="http://schemas.openxmlformats.org/officeDocument/2006/relationships" name="Viagens" sheetId="6" r:id="Ra8a8c5c89590414f"/>
    <x:sheet xmlns:r="http://schemas.openxmlformats.org/officeDocument/2006/relationships" name="Manutencao" sheetId="7" r:id="Rdd1bf9df517e483e"/>
    <x:sheet xmlns:r="http://schemas.openxmlformats.org/officeDocument/2006/relationships" name="Teste_Corrida" sheetId="8" r:id="R315c53be9de54739"/>
    <x:sheet xmlns:r="http://schemas.openxmlformats.org/officeDocument/2006/relationships" name="Fontes" sheetId="9" r:id="R6b79b5f69c03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;[Red](0.0%);–"/>
    <x:numFmt numFmtId="201" formatCode="R$ #,##0.00;[Red](R$ #,##0.00);–"/>
    <x:numFmt numFmtId="202" formatCode="R$ #,##0.000;[Red](R$ #,##0.000);–"/>
    <x:numFmt numFmtId="203" formatCode="0.00;[Red](0.00);–"/>
    <x:numFmt numFmtId="204" formatCode="&quot;R$&quot; #,##0.00;[Red](&quot;R$&quot; #,##0.00);&quot;-&quot;"/>
    <x:numFmt numFmtId="205" formatCode="&quot;R$&quot; #,##0.000;[Red](&quot;R$&quot; #,##0.000);&quot;-&quot;"/>
    <x:numFmt numFmtId="206" formatCode="0.00;[Red](0.00);&quot;-&quot;"/>
    <x:numFmt numFmtId="207" formatCode="0.0%;[Red](0.0%);&quot;-&quot;"/>
  </x:numFmts>
  <x:fonts count="14">
    <x:font>
      <x:sz val="11"/>
      <x:name val="Carlito"/>
    </x:font>
    <x:font>
      <x:b/>
      <x:sz val="16"/>
      <x:color rgb="FFFFFFFF"/>
      <x:name val="Noto Sans"/>
    </x:font>
    <x:font>
      <x:sz val="10"/>
      <x:color rgb="FF536878"/>
      <x:name val="Noto Sans"/>
    </x:font>
    <x:font>
      <x:b/>
      <x:sz val="10"/>
      <x:color rgb="FFFFFFFF"/>
      <x:name val="Noto Sans"/>
    </x:font>
    <x:font>
      <x:sz val="11"/>
      <x:name val="Noto Sans"/>
    </x:font>
    <x:font>
      <x:sz val="10"/>
      <x:name val="Noto Sans"/>
    </x:font>
    <x:font>
      <x:sz val="10"/>
      <x:color rgb="FF1D4ED8"/>
      <x:name val="Noto Sans"/>
    </x:font>
    <x:font>
      <x:b/>
      <x:sz val="10"/>
      <x:color rgb="FF1D4ED8"/>
      <x:name val="Noto Sans"/>
    </x:font>
    <x:font>
      <x:b/>
      <x:sz val="10"/>
      <x:name val="Noto Sans"/>
    </x:font>
    <x:font>
      <x:b/>
      <x:sz val="11"/>
      <x:name val="Carlito"/>
    </x:font>
    <x:font>
      <x:b/>
      <x:sz val="11"/>
      <x:name val="Noto Sans"/>
    </x:font>
    <x:font>
      <x:sz val="11"/>
      <x:color rgb="FF1D4ED8"/>
      <x:name val="Carlito"/>
    </x:font>
    <x:font>
      <x:b/>
      <x:sz val="11"/>
      <x:color rgb="FF1D4ED8"/>
      <x:name val="Carlito"/>
    </x:font>
    <x:font>
      <x:b/>
      <x:sz val="11"/>
      <x:color rgb="FF1D4ED8"/>
      <x:name val="Noto Sans"/>
    </x:font>
  </x:fonts>
  <x:fills count="13">
    <x:fill>
      <x:patternFill patternType="none"/>
    </x:fill>
    <x:fill>
      <x:patternFill patternType="gray125"/>
    </x:fill>
    <x:fill>
      <x:patternFill patternType="solid">
        <x:fgColor rgb="FF142B42"/>
      </x:patternFill>
    </x:fill>
    <x:fill>
      <x:patternFill patternType="solid">
        <x:fgColor rgb="FFF1F6F8"/>
      </x:patternFill>
    </x:fill>
    <x:fill>
      <x:patternFill patternType="solid">
        <x:fgColor rgb="FF203D58"/>
      </x:patternFill>
    </x:fill>
    <x:fill>
      <x:patternFill patternType="solid">
        <x:fgColor rgb="FFFFF2C5"/>
      </x:patternFill>
    </x:fill>
    <x:fill>
      <x:patternFill patternType="solid">
        <x:fgColor rgb="FFD6ECE6"/>
      </x:patternFill>
    </x:fill>
    <x:fill>
      <x:patternFill patternType="solid">
        <x:fgColor rgb="FFDCF0EA"/>
      </x:patternFill>
    </x:fill>
    <x:fill>
      <x:patternFill patternType="solid">
        <x:fgColor rgb="FFE8F3EE"/>
      </x:patternFill>
    </x:fill>
    <x:fill>
      <x:patternFill patternType="solid">
        <x:fgColor rgb="FFE6F3EF"/>
      </x:patternFill>
    </x:fill>
    <x:fill>
      <x:patternFill patternType="solid">
        <x:fgColor rgb="FFE9F2F5"/>
      </x:patternFill>
    </x:fill>
    <x:fill>
      <x:patternFill patternType="solid">
        <x:fgColor rgb="FFDDF0EA"/>
      </x:patternFill>
    </x:fill>
    <x:fill>
      <x:patternFill patternType="solid">
        <x:fgColor rgb="FFEFF5FA"/>
      </x:patternFill>
    </x:fill>
  </x:fills>
  <x:borders count="2">
    <x:border/>
    <x:border/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0" fontId="7" fillId="5" borderId="1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2" fontId="7" fillId="5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6" fillId="5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2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202" fontId="5" fillId="6" borderId="1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202" fontId="8" fillId="6" borderId="1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1" fontId="5" fillId="7" borderId="0" xfId="0" applyNumberFormat="1" applyFont="1" applyFill="1" applyBorder="1" applyAlignment="1">
      <x:alignment vertical="center"/>
    </x:xf>
    <x:xf numFmtId="201" fontId="5" fillId="7" borderId="1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/>
    </x:xf>
    <x:xf numFmtId="201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201" fontId="5" fillId="8" borderId="1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203" fontId="5" fillId="9" borderId="0" xfId="0" applyNumberFormat="1" applyFont="1" applyFill="1" applyBorder="1" applyAlignment="1">
      <x:alignment vertical="center"/>
    </x:xf>
    <x:xf numFmtId="201" fontId="5" fillId="9" borderId="0" xfId="0" applyNumberFormat="1" applyFont="1" applyFill="1" applyBorder="1" applyAlignment="1">
      <x:alignment vertical="center"/>
    </x:xf>
    <x:xf numFmtId="200" fontId="5" fillId="9" borderId="0" xfId="0" applyNumberFormat="1" applyFont="1" applyFill="1" applyBorder="1" applyAlignment="1">
      <x:alignment vertical="center"/>
    </x:xf>
    <x:xf numFmtId="203" fontId="5" fillId="9" borderId="1" xfId="0" applyNumberFormat="1" applyFont="1" applyFill="1" applyBorder="1" applyAlignment="1">
      <x:alignment vertical="center"/>
    </x:xf>
    <x:xf numFmtId="201" fontId="5" fillId="9" borderId="1" xfId="0" applyNumberFormat="1" applyFont="1" applyFill="1" applyBorder="1" applyAlignment="1">
      <x:alignment vertical="center"/>
    </x:xf>
    <x:xf numFmtId="200" fontId="5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201" fontId="9" fillId="10" borderId="0" xfId="0" applyNumberFormat="1" applyFont="1" applyFill="1" applyBorder="1"/>
    <x:xf numFmtId="201" fontId="9" fillId="10" borderId="1" xfId="0" applyNumberFormat="1" applyFont="1" applyFill="1" applyBorder="1"/>
    <x:xf numFmtId="203" fontId="9" fillId="10" borderId="0" xfId="0" applyNumberFormat="1" applyFont="1" applyFill="1" applyBorder="1"/>
    <x:xf numFmtId="203" fontId="9" fillId="1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10" borderId="0" xfId="0" applyNumberFormat="1" applyFont="1" applyFill="1" applyBorder="1"/>
    <x:xf numFmtId="201" fontId="10" fillId="10" borderId="0" xfId="0" applyNumberFormat="1" applyFont="1" applyFill="1" applyBorder="1"/>
    <x:xf numFmtId="203" fontId="10" fillId="1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0" fillId="10" borderId="1" xfId="0" applyNumberFormat="1" applyFont="1" applyFill="1" applyBorder="1"/>
    <x:xf numFmtId="201" fontId="10" fillId="10" borderId="1" xfId="0" applyNumberFormat="1" applyFont="1" applyFill="1" applyBorder="1"/>
    <x:xf numFmtId="203" fontId="10" fillId="1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8" fillId="10" borderId="0" xfId="0" applyNumberFormat="1" applyFont="1" applyFill="1" applyBorder="1"/>
    <x:xf numFmtId="201" fontId="8" fillId="10" borderId="0" xfId="0" applyNumberFormat="1" applyFont="1" applyFill="1" applyBorder="1"/>
    <x:xf numFmtId="203" fontId="8" fillId="1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8" fillId="10" borderId="1" xfId="0" applyNumberFormat="1" applyFont="1" applyFill="1" applyBorder="1"/>
    <x:xf numFmtId="201" fontId="8" fillId="10" borderId="1" xfId="0" applyNumberFormat="1" applyFont="1" applyFill="1" applyBorder="1"/>
    <x:xf numFmtId="203" fontId="8" fillId="1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3" fontId="8" fillId="10" borderId="0" xfId="0" applyNumberFormat="1" applyFont="1" applyFill="1" applyBorder="1" applyAlignment="1">
      <x:alignment vertical="center"/>
    </x:xf>
    <x:xf numFmtId="0" fontId="8" fillId="10" borderId="1" xfId="0" applyNumberFormat="1" applyFont="1" applyFill="1" applyBorder="1" applyAlignment="1">
      <x:alignment vertical="center"/>
    </x:xf>
    <x:xf numFmtId="201" fontId="8" fillId="10" borderId="1" xfId="0" applyNumberFormat="1" applyFont="1" applyFill="1" applyBorder="1" applyAlignment="1">
      <x:alignment vertical="center"/>
    </x:xf>
    <x:xf numFmtId="203" fontId="8" fillId="10" borderId="1" xfId="0" applyNumberFormat="1" applyFont="1" applyFill="1" applyBorder="1" applyAlignment="1">
      <x:alignment vertical="center"/>
    </x:xf>
    <x:xf numFmtId="201" fontId="5" fillId="11" borderId="0" xfId="0" applyNumberFormat="1" applyFont="1" applyFill="1" applyBorder="1" applyAlignment="1">
      <x:alignment vertical="center"/>
    </x:xf>
    <x:xf numFmtId="202" fontId="5" fillId="11" borderId="0" xfId="0" applyNumberFormat="1" applyFont="1" applyFill="1" applyBorder="1" applyAlignment="1">
      <x:alignment vertical="center"/>
    </x:xf>
    <x:xf numFmtId="201" fontId="5" fillId="11" borderId="1" xfId="0" applyNumberFormat="1" applyFont="1" applyFill="1" applyBorder="1" applyAlignment="1">
      <x:alignment vertical="center"/>
    </x:xf>
    <x:xf numFmtId="202" fontId="5" fillId="11" borderId="1" xfId="0" applyNumberFormat="1" applyFont="1" applyFill="1" applyBorder="1" applyAlignment="1">
      <x:alignment vertical="center"/>
    </x:xf>
    <x:xf numFmtId="201" fontId="5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201" fontId="5" fillId="12" borderId="1" xfId="0" applyNumberFormat="1" applyFont="1" applyFill="1" applyBorder="1" applyAlignment="1">
      <x:alignment vertical="center"/>
    </x:xf>
    <x:xf numFmtId="0" fontId="5" fillId="1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4" fontId="5" fillId="11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12" borderId="0" xfId="0" applyNumberFormat="1" applyFont="1" applyFill="1" applyBorder="1" applyAlignment="1">
      <x:alignment vertical="center"/>
    </x:xf>
    <x:xf numFmtId="204" fontId="5" fillId="11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4" fontId="5" fillId="12" borderId="1" xfId="0" applyNumberFormat="1" applyFont="1" applyFill="1" applyBorder="1" applyAlignment="1">
      <x:alignment vertical="center"/>
    </x:xf>
    <x:xf numFmtId="204" fontId="8" fillId="10" borderId="0" xfId="0" applyNumberFormat="1" applyFont="1" applyFill="1" applyBorder="1" applyAlignment="1">
      <x:alignment vertical="center"/>
    </x:xf>
    <x:xf numFmtId="204" fontId="8" fillId="10" borderId="1" xfId="0" applyNumberFormat="1" applyFont="1" applyFill="1" applyBorder="1" applyAlignment="1">
      <x:alignment vertical="center"/>
    </x:xf>
    <x:xf numFmtId="204" fontId="5" fillId="7" borderId="0" xfId="0" applyNumberFormat="1" applyFont="1" applyFill="1" applyBorder="1" applyAlignment="1">
      <x:alignment vertical="center"/>
    </x:xf>
    <x:xf numFmtId="204" fontId="5" fillId="7" borderId="1" xfId="0" applyNumberFormat="1" applyFont="1" applyFill="1" applyBorder="1" applyAlignment="1">
      <x:alignment vertical="center"/>
    </x:xf>
    <x:xf numFmtId="204" fontId="5" fillId="8" borderId="0" xfId="0" applyNumberFormat="1" applyFont="1" applyFill="1" applyBorder="1" applyAlignment="1">
      <x:alignment vertical="center"/>
    </x:xf>
    <x:xf numFmtId="204" fontId="5" fillId="8" borderId="1" xfId="0" applyNumberFormat="1" applyFont="1" applyFill="1" applyBorder="1" applyAlignment="1">
      <x:alignment vertical="center"/>
    </x:xf>
    <x:xf numFmtId="204" fontId="5" fillId="9" borderId="0" xfId="0" applyNumberFormat="1" applyFont="1" applyFill="1" applyBorder="1" applyAlignment="1">
      <x:alignment vertical="center"/>
    </x:xf>
    <x:xf numFmtId="204" fontId="5" fillId="9" borderId="1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4" fontId="7" fillId="5" borderId="1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vertical="center"/>
    </x:xf>
    <x:xf numFmtId="204" fontId="6" fillId="5" borderId="1" xfId="0" applyNumberFormat="1" applyFont="1" applyFill="1" applyBorder="1" applyAlignment="1">
      <x:alignment vertical="center"/>
    </x:xf>
    <x:xf numFmtId="205" fontId="5" fillId="11" borderId="0" xfId="0" applyNumberFormat="1" applyFont="1" applyFill="1" applyBorder="1" applyAlignment="1">
      <x:alignment vertical="center"/>
    </x:xf>
    <x:xf numFmtId="205" fontId="5" fillId="11" borderId="1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205" fontId="5" fillId="7" borderId="0" xfId="0" applyNumberFormat="1" applyFont="1" applyFill="1" applyBorder="1" applyAlignment="1">
      <x:alignment vertical="center"/>
    </x:xf>
    <x:xf numFmtId="205" fontId="5" fillId="7" borderId="1" xfId="0" applyNumberFormat="1" applyFont="1" applyFill="1" applyBorder="1" applyAlignment="1">
      <x:alignment vertical="center"/>
    </x:xf>
    <x:xf numFmtId="205" fontId="7" fillId="5" borderId="0" xfId="0" applyNumberFormat="1" applyFont="1" applyFill="1" applyBorder="1" applyAlignment="1">
      <x:alignment vertical="center"/>
    </x:xf>
    <x:xf numFmtId="205" fontId="7" fillId="5" borderId="1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6" fontId="8" fillId="10" borderId="0" xfId="0" applyNumberFormat="1" applyFont="1" applyFill="1" applyBorder="1" applyAlignment="1">
      <x:alignment vertical="center"/>
    </x:xf>
    <x:xf numFmtId="206" fontId="8" fillId="10" borderId="1" xfId="0" applyNumberFormat="1" applyFont="1" applyFill="1" applyBorder="1" applyAlignment="1">
      <x:alignment vertical="center"/>
    </x:xf>
    <x:xf numFmtId="206" fontId="5" fillId="9" borderId="0" xfId="0" applyNumberFormat="1" applyFont="1" applyFill="1" applyBorder="1" applyAlignment="1">
      <x:alignment vertical="center"/>
    </x:xf>
    <x:xf numFmtId="206" fontId="5" fillId="9" borderId="1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207" fontId="5" fillId="9" borderId="0" xfId="0" applyNumberFormat="1" applyFont="1" applyFill="1" applyBorder="1" applyAlignment="1">
      <x:alignment vertical="center"/>
    </x:xf>
    <x:xf numFmtId="207" fontId="5" fillId="9" borderId="1" xfId="0" applyNumberFormat="1" applyFont="1" applyFill="1" applyBorder="1" applyAlignment="1">
      <x:alignment vertical="center"/>
    </x:xf>
    <x:xf numFmtId="207" fontId="6" fillId="5" borderId="0" xfId="0" applyNumberFormat="1" applyFont="1" applyFill="1" applyBorder="1" applyAlignment="1">
      <x:alignment vertical="center"/>
    </x:xf>
    <x:xf numFmtId="207" fontId="6" fillId="5" borderId="1" xfId="0" applyNumberFormat="1" applyFont="1" applyFill="1" applyBorder="1" applyAlignment="1">
      <x:alignment vertical="center"/>
    </x:xf>
    <x:xf numFmtId="207" fontId="7" fillId="5" borderId="0" xfId="0" applyNumberFormat="1" applyFont="1" applyFill="1" applyBorder="1" applyAlignment="1">
      <x:alignment vertical="center"/>
    </x:xf>
    <x:xf numFmtId="207" fontId="7" fillId="5" borderId="1" xfId="0" applyNumberFormat="1" applyFont="1" applyFill="1" applyBorder="1" applyAlignment="1">
      <x:alignment vertical="center"/>
    </x:xf>
    <x:xf numFmtId="204" fontId="8" fillId="7" borderId="0" xfId="0" applyNumberFormat="1" applyFont="1" applyFill="1" applyBorder="1" applyAlignment="1">
      <x:alignment vertical="center"/>
    </x:xf>
    <x:xf numFmtId="205" fontId="8" fillId="7" borderId="0" xfId="0" applyNumberFormat="1" applyFont="1" applyFill="1" applyBorder="1" applyAlignment="1">
      <x:alignment vertical="center"/>
    </x:xf>
    <x:xf numFmtId="204" fontId="8" fillId="7" borderId="1" xfId="0" applyNumberFormat="1" applyFont="1" applyFill="1" applyBorder="1" applyAlignment="1">
      <x:alignment vertical="center"/>
    </x:xf>
    <x:xf numFmtId="205" fontId="8" fillId="7" borderId="1" xfId="0" applyNumberFormat="1" applyFont="1" applyFill="1" applyBorder="1" applyAlignment="1">
      <x:alignment vertical="center"/>
    </x:xf>
    <x:xf numFmtId="204" fontId="8" fillId="11" borderId="0" xfId="0" applyNumberFormat="1" applyFont="1" applyFill="1" applyBorder="1" applyAlignment="1">
      <x:alignment vertical="center"/>
    </x:xf>
    <x:xf numFmtId="205" fontId="8" fillId="11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0B6246"/>
      </x:font>
      <x:fill>
        <x:patternFill patternType="solid">
          <x:bgColor rgb="FFD3F0DF"/>
        </x:patternFill>
      </x:fill>
    </x:dxf>
    <x:dxf>
      <x:font>
        <x:b/>
        <x:color rgb="FFA14520"/>
      </x:font>
      <x:fill>
        <x:patternFill patternType="solid">
          <x:bgColor rgb="FFFFF0E7"/>
        </x:patternFill>
      </x:fill>
    </x:dxf>
    <x:dxf>
      <x:font>
        <x:b/>
        <x:color rgb="FF0B6246"/>
      </x:font>
      <x:fill>
        <x:patternFill patternType="solid">
          <x:bgColor rgb="FFD3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2a7f3bbc14e13" /><Relationship Type="http://schemas.openxmlformats.org/officeDocument/2006/relationships/theme" Target="/xl/theme/theme1.xml" Id="R7cc928f7956b480e" /><Relationship Type="http://schemas.openxmlformats.org/officeDocument/2006/relationships/sharedStrings" Target="/xl/sharedStrings.xml" Id="R5cd1209ba2204b2e" /><Relationship Type="http://schemas.openxmlformats.org/officeDocument/2006/relationships/worksheet" Target="/xl/worksheets/sheet1.xml" Id="R88d5b9e729ed4c6c" /><Relationship Type="http://schemas.openxmlformats.org/officeDocument/2006/relationships/worksheet" Target="/xl/worksheets/sheet2.xml" Id="R962e70c066ff4268" /><Relationship Type="http://schemas.openxmlformats.org/officeDocument/2006/relationships/worksheet" Target="/xl/worksheets/sheet3.xml" Id="R9f1ef79169eb4709" /><Relationship Type="http://schemas.openxmlformats.org/officeDocument/2006/relationships/worksheet" Target="/xl/worksheets/sheet4.xml" Id="R8b4ad507e8764076" /><Relationship Type="http://schemas.openxmlformats.org/officeDocument/2006/relationships/worksheet" Target="/xl/worksheets/sheet5.xml" Id="R3c994cfd2a14405e" /><Relationship Type="http://schemas.openxmlformats.org/officeDocument/2006/relationships/worksheet" Target="/xl/worksheets/sheet6.xml" Id="Ra8a8c5c89590414f" /><Relationship Type="http://schemas.openxmlformats.org/officeDocument/2006/relationships/worksheet" Target="/xl/worksheets/sheet7.xml" Id="Rdd1bf9df517e483e" /><Relationship Type="http://schemas.openxmlformats.org/officeDocument/2006/relationships/worksheet" Target="/xl/worksheets/sheet8.xml" Id="R315c53be9de54739" /><Relationship Type="http://schemas.openxmlformats.org/officeDocument/2006/relationships/worksheet" Target="/xl/worksheets/sheet9.xml" Id="R6b79b5f69c03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9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  <x:col min="9" max="9" width="23" hidden="0" customWidth="1"/>
    <x:col min="10" max="10" width="23" hidden="0" customWidth="1"/>
    <x:col min="11" max="11" width="22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33" customHeight="1">
      <x:c r="A1" s="4" t="str">
        <x:v>UBERX + ROTA PRO | CUSTO TOTAL E METAS | PIRASSUNUNGA/SP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26" t="str">
        <x:v>18 comparações: 3 perfis × 3 jornadas × 2 objetivos. Custos totais são ORÇAMENTADOS, incluem provisões, dízimo e tributos informados; demanda e repasse não estão comprovados.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 ht="23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 ht="23" customHeight="1">
      <x:c r="A4" s="106" t="str">
        <x:v>SALÁRIO MÍNIMO</x:v>
      </x:c>
      <x:c r="B4" s="136" t="n">
        <x:f>Parametros!B12</x:f>
        <x:v>1621</x:v>
      </x:c>
      <x:c r="C4" s="106" t="str">
        <x:v>DIAS EFETIVOS/MÊS</x:v>
      </x:c>
      <x:c r="D4" s="158" t="n">
        <x:f>Parametros!B11</x:f>
        <x:v>17.142857142857142</x:v>
      </x:c>
      <x:c r="E4" s="106" t="str">
        <x:v>ETANOL (R$/L)</x:v>
      </x:c>
      <x:c r="F4" s="136" t="n">
        <x:f>Parametros!B20</x:f>
        <x:v>3.79</x:v>
      </x:c>
      <x:c r="G4" s="106" t="str">
        <x:v>GASOLINA (R$/L)</x:v>
      </x:c>
      <x:c r="H4" s="136" t="n">
        <x:f>Parametros!B21</x:f>
        <x:v>6.39</x:v>
      </x:c>
      <x:c r="I4" s="106" t="str">
        <x:v>META 15% SM</x:v>
      </x:c>
      <x:c r="J4" s="136" t="n">
        <x:f>Parametros!B12*Parametros!B14</x:f>
        <x:v>243.14999999999998</x:v>
      </x:c>
      <x:c r="K4" s="106" t="str">
        <x:v>META 100% SM</x:v>
      </x:c>
      <x:c r="L4" s="136" t="n">
        <x:f>Parametros!B12*Parametros!B15</x:f>
        <x:v>1621</x:v>
      </x:c>
      <x:c r="M4" s="106" t="str">
        <x:v>STATUS</x:v>
      </x:c>
      <x:c r="N4" s="106" t="str">
        <x:v>PROVISÓRIO</x:v>
      </x:c>
    </x:row>
    <x:row r="5" ht="23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 ht="23" customHeight="1">
      <x:c r="A6" s="50" t="str">
        <x:v>CUSTO TOTAL PLANEJADO = parcelas/fixos + combustível + provisões de manutenção + adicionais + dízimo + tributo informado. R$/km inclui coleta, percurso remunerado e retorno.</x:v>
      </x:c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</x:row>
    <x:row r="7" ht="23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</x:row>
    <x:row r="8" ht="54" customHeight="1">
      <x:c r="A8" s="17" t="str">
        <x:v>Perfil</x:v>
      </x:c>
      <x:c r="B8" s="17" t="str">
        <x:v>Jornada (h/dia)</x:v>
      </x:c>
      <x:c r="C8" s="17" t="str">
        <x:v>Meta LLF</x:v>
      </x:c>
      <x:c r="D8" s="17" t="str">
        <x:v>Km totais/mês</x:v>
      </x:c>
      <x:c r="E8" s="17" t="str">
        <x:v>TOTAL/sem (R$)</x:v>
      </x:c>
      <x:c r="F8" s="17" t="str">
        <x:v>TOTAL/mês (R$)</x:v>
      </x:c>
      <x:c r="G8" s="17" t="str">
        <x:v>TOTAL/ano (R$)</x:v>
      </x:c>
      <x:c r="H8" s="17" t="str">
        <x:v>TOTAL por km (R$/km)</x:v>
      </x:c>
      <x:c r="I8" s="17" t="str">
        <x:v>Recebido da Uber /mês</x:v>
      </x:c>
      <x:c r="J8" s="17" t="str">
        <x:v>Lucro líquido final /mês</x:v>
      </x:c>
      <x:c r="K8" s="17" t="str">
        <x:v>Folga ou déficit /mês</x:v>
      </x:c>
      <x:c r="L8" s="17" t="str">
        <x:v>Situação da meta</x:v>
      </x:c>
      <x:c r="M8" s="17" t="str">
        <x:v>Rota Pro: mínimo R$/km</x:v>
      </x:c>
      <x:c r="N8" s="17" t="str">
        <x:v>Rota Pro: lucro mínimo (%)</x:v>
      </x:c>
    </x:row>
    <x:row r="9" ht="23" customHeight="1">
      <x:c r="A9" s="27" t="str">
        <x:f>Resultados!A6</x:f>
        <x:v>Otimista</x:v>
      </x:c>
      <x:c r="B9" s="27" t="n">
        <x:f>Resultados!B6</x:f>
        <x:v>3</x:v>
      </x:c>
      <x:c r="C9" s="27" t="str">
        <x:f>Resultados!C6</x:f>
        <x:v>15% SM</x:v>
      </x:c>
      <x:c r="D9" s="156" t="n">
        <x:f>Custos!G6</x:f>
        <x:v>729.9918367346938</x:v>
      </x:c>
      <x:c r="E9" s="174" t="n">
        <x:f>Custos!W6</x:f>
        <x:v>411.8437858585859</x:v>
      </x:c>
      <x:c r="F9" s="174" t="n">
        <x:f>Custos!V6</x:f>
        <x:v>1765.0447965367966</x:v>
      </x:c>
      <x:c r="G9" s="174" t="n">
        <x:f>Custos!X6</x:f>
        <x:v>21180.53755844156</x:v>
      </x:c>
      <x:c r="H9" s="175" t="n">
        <x:f>Custos!Y6</x:f>
        <x:v>2.417896622559465</x:v>
      </x:c>
      <x:c r="I9" s="131" t="n">
        <x:f>Resultados!H6</x:f>
        <x:v>2027.7551020408164</x:v>
      </x:c>
      <x:c r="J9" s="132" t="n">
        <x:f>Resultados!L6</x:f>
        <x:v>262.71030550401974</x:v>
      </x:c>
      <x:c r="K9" s="132" t="n">
        <x:f>Resultados!M6</x:f>
        <x:v>19.560305504019766</x:v>
      </x:c>
      <x:c r="L9" s="117" t="str">
        <x:f>Resultados!N6</x:f>
        <x:v>ATINGE META</x:v>
      </x:c>
      <x:c r="M9" s="131" t="n">
        <x:f>RotaPro!E6</x:f>
        <x:v>3.1477151507634784</x:v>
      </x:c>
      <x:c r="N9" s="162" t="n">
        <x:f>RotaPro!G6</x:f>
        <x:v>0.25829530577697646</x:v>
      </x:c>
    </x:row>
    <x:row r="10" ht="23" customHeight="1">
      <x:c r="A10" s="27" t="str">
        <x:f>Resultados!A7</x:f>
        <x:v>Otimista</x:v>
      </x:c>
      <x:c r="B10" s="27" t="n">
        <x:f>Resultados!B7</x:f>
        <x:v>3</x:v>
      </x:c>
      <x:c r="C10" s="27" t="str">
        <x:f>Resultados!C7</x:f>
        <x:v>100% SM</x:v>
      </x:c>
      <x:c r="D10" s="156" t="n">
        <x:f>Custos!G7</x:f>
        <x:v>584.6663314285714</x:v>
      </x:c>
      <x:c r="E10" s="174" t="n">
        <x:f>Custos!W7</x:f>
        <x:v>381.208117320404</x:v>
      </x:c>
      <x:c r="F10" s="174" t="n">
        <x:f>Custos!V7</x:f>
        <x:v>1633.749074230303</x:v>
      </x:c>
      <x:c r="G10" s="174" t="n">
        <x:f>Custos!X7</x:f>
        <x:v>19604.988890763634</x:v>
      </x:c>
      <x:c r="H10" s="175" t="n">
        <x:f>Custos!Y7</x:f>
        <x:v>2.794327270801462</x:v>
      </x:c>
      <x:c r="I10" s="131" t="n">
        <x:f>Resultados!H7</x:f>
        <x:v>1624.0731428571428</x:v>
      </x:c>
      <x:c r="J10" s="132" t="n">
        <x:f>Resultados!L7</x:f>
        <x:v>-9.67593137316021</x:v>
      </x:c>
      <x:c r="K10" s="132" t="n">
        <x:f>Resultados!M7</x:f>
        <x:v>-1630.6759313731602</x:v>
      </x:c>
      <x:c r="L10" s="117" t="str">
        <x:f>Resultados!N7</x:f>
        <x:v>NÃO ATINGE META</x:v>
      </x:c>
      <x:c r="M10" s="131" t="n">
        <x:f>RotaPro!E7</x:f>
        <x:v>6.731544956348758</x:v>
      </x:c>
      <x:c r="N10" s="162" t="n">
        <x:f>RotaPro!G7</x:f>
        <x:v>0.5921698900528047</x:v>
      </x:c>
    </x:row>
    <x:row r="11" ht="23" customHeight="1">
      <x:c r="A11" s="27" t="str">
        <x:f>Resultados!A8</x:f>
        <x:v>Otimista</x:v>
      </x:c>
      <x:c r="B11" s="27" t="n">
        <x:f>Resultados!B8</x:f>
        <x:v>6</x:v>
      </x:c>
      <x:c r="C11" s="27" t="str">
        <x:f>Resultados!C8</x:f>
        <x:v>15% SM</x:v>
      </x:c>
      <x:c r="D11" s="156" t="n">
        <x:f>Custos!G8</x:f>
        <x:v>1459.9836734693877</x:v>
      </x:c>
      <x:c r="E11" s="174" t="n">
        <x:f>Custos!W8</x:f>
        <x:v>565.7313494949495</x:v>
      </x:c>
      <x:c r="F11" s="174" t="n">
        <x:f>Custos!V8</x:f>
        <x:v>2424.562926406926</x:v>
      </x:c>
      <x:c r="G11" s="174" t="n">
        <x:f>Custos!X8</x:f>
        <x:v>29094.755116883112</x:v>
      </x:c>
      <x:c r="H11" s="175" t="n">
        <x:f>Custos!Y8</x:f>
        <x:v>1.6606781092595302</x:v>
      </x:c>
      <x:c r="I11" s="131" t="n">
        <x:f>Resultados!H8</x:f>
        <x:v>4055.5102040816328</x:v>
      </x:c>
      <x:c r="J11" s="132" t="n">
        <x:f>Resultados!L8</x:f>
        <x:v>1630.9472776747066</x:v>
      </x:c>
      <x:c r="K11" s="132" t="n">
        <x:f>Resultados!M8</x:f>
        <x:v>1387.7972776747065</x:v>
      </x:c>
      <x:c r="L11" s="117" t="str">
        <x:f>Resultados!N8</x:f>
        <x:v>ATINGE META</x:v>
      </x:c>
      <x:c r="M11" s="131" t="n">
        <x:f>RotaPro!E8</x:f>
        <x:v>1.9720187324065326</x:v>
      </x:c>
      <x:c r="N11" s="162" t="n">
        <x:f>RotaPro!G8</x:f>
        <x:v>0.23498772164622783</x:v>
      </x:c>
    </x:row>
    <x:row r="12" ht="23" customHeight="1">
      <x:c r="A12" s="27" t="str">
        <x:f>Resultados!A9</x:f>
        <x:v>Otimista</x:v>
      </x:c>
      <x:c r="B12" s="27" t="n">
        <x:f>Resultados!B9</x:f>
        <x:v>6</x:v>
      </x:c>
      <x:c r="C12" s="27" t="str">
        <x:f>Resultados!C9</x:f>
        <x:v>100% SM</x:v>
      </x:c>
      <x:c r="D12" s="156" t="n">
        <x:f>Custos!G9</x:f>
        <x:v>1169.3326628571429</x:v>
      </x:c>
      <x:c r="E12" s="174" t="n">
        <x:f>Custos!W9</x:f>
        <x:v>504.4600124185859</x:v>
      </x:c>
      <x:c r="F12" s="174" t="n">
        <x:f>Custos!V9</x:f>
        <x:v>2161.9714817939393</x:v>
      </x:c>
      <x:c r="G12" s="174" t="n">
        <x:f>Custos!X9</x:f>
        <x:v>25943.657781527272</x:v>
      </x:c>
      <x:c r="H12" s="175" t="n">
        <x:f>Custos!Y9</x:f>
        <x:v>1.848893433380529</x:v>
      </x:c>
      <x:c r="I12" s="131" t="n">
        <x:f>Resultados!H9</x:f>
        <x:v>3248.1462857142856</x:v>
      </x:c>
      <x:c r="J12" s="132" t="n">
        <x:f>Resultados!L9</x:f>
        <x:v>1086.1748039203462</x:v>
      </x:c>
      <x:c r="K12" s="132" t="n">
        <x:f>Resultados!M9</x:f>
        <x:v>-534.8251960796538</x:v>
      </x:c>
      <x:c r="L12" s="117" t="str">
        <x:f>Resultados!N9</x:f>
        <x:v>NÃO ATINGE META</x:v>
      </x:c>
      <x:c r="M12" s="131" t="n">
        <x:f>RotaPro!E9</x:f>
        <x:v>3.763933635199173</x:v>
      </x:c>
      <x:c r="N12" s="162" t="n">
        <x:f>RotaPro!G9</x:f>
        <x:v>0.5446401244861634</x:v>
      </x:c>
    </x:row>
    <x:row r="13" ht="23" customHeight="1">
      <x:c r="A13" s="27" t="str">
        <x:f>Resultados!A10</x:f>
        <x:v>Otimista</x:v>
      </x:c>
      <x:c r="B13" s="27" t="n">
        <x:f>Resultados!B10</x:f>
        <x:v>8</x:v>
      </x:c>
      <x:c r="C13" s="27" t="str">
        <x:f>Resultados!C10</x:f>
        <x:v>15% SM</x:v>
      </x:c>
      <x:c r="D13" s="156" t="n">
        <x:f>Custos!G10</x:f>
        <x:v>1946.6448979591835</x:v>
      </x:c>
      <x:c r="E13" s="174" t="n">
        <x:f>Custos!W10</x:f>
        <x:v>668.3230585858585</x:v>
      </x:c>
      <x:c r="F13" s="174" t="n">
        <x:f>Custos!V10</x:f>
        <x:v>2864.241679653679</x:v>
      </x:c>
      <x:c r="G13" s="174" t="n">
        <x:f>Custos!X10</x:f>
        <x:v>34370.90015584415</x:v>
      </x:c>
      <x:c r="H13" s="175" t="n">
        <x:f>Custos!Y10</x:f>
        <x:v>1.4713734809345467</x:v>
      </x:c>
      <x:c r="I13" s="131" t="n">
        <x:f>Resultados!H10</x:f>
        <x:v>5407.34693877551</x:v>
      </x:c>
      <x:c r="J13" s="132" t="n">
        <x:f>Resultados!L10</x:f>
        <x:v>2543.1052591218313</x:v>
      </x:c>
      <x:c r="K13" s="132" t="n">
        <x:f>Resultados!M10</x:f>
        <x:v>2299.955259121831</x:v>
      </x:c>
      <x:c r="L13" s="117" t="str">
        <x:f>Resultados!N10</x:f>
        <x:v>ATINGE META</x:v>
      </x:c>
      <x:c r="M13" s="131" t="n">
        <x:f>RotaPro!E10</x:f>
        <x:v>1.6780946278172957</x:v>
      </x:c>
      <x:c r="N13" s="162" t="n">
        <x:f>RotaPro!G10</x:f>
        <x:v>0.2240578201853849</x:v>
      </x:c>
    </x:row>
    <x:row r="14" ht="23" customHeight="1">
      <x:c r="A14" s="27" t="str">
        <x:f>Resultados!A11</x:f>
        <x:v>Otimista</x:v>
      </x:c>
      <x:c r="B14" s="27" t="n">
        <x:f>Resultados!B11</x:f>
        <x:v>8</x:v>
      </x:c>
      <x:c r="C14" s="27" t="str">
        <x:f>Resultados!C11</x:f>
        <x:v>100% SM</x:v>
      </x:c>
      <x:c r="D14" s="156" t="n">
        <x:f>Custos!G11</x:f>
        <x:v>1559.110217142857</x:v>
      </x:c>
      <x:c r="E14" s="174" t="n">
        <x:f>Custos!W11</x:f>
        <x:v>586.6279424840403</x:v>
      </x:c>
      <x:c r="F14" s="174" t="n">
        <x:f>Custos!V11</x:f>
        <x:v>2514.11975350303</x:v>
      </x:c>
      <x:c r="G14" s="174" t="n">
        <x:f>Custos!X11</x:f>
        <x:v>30169.437042036363</x:v>
      </x:c>
      <x:c r="H14" s="175" t="n">
        <x:f>Custos!Y11</x:f>
        <x:v>1.6125349740252957</x:v>
      </x:c>
      <x:c r="I14" s="131" t="n">
        <x:f>Resultados!H11</x:f>
        <x:v>4330.861714285715</x:v>
      </x:c>
      <x:c r="J14" s="132" t="n">
        <x:f>Resultados!L11</x:f>
        <x:v>1816.7419607826846</x:v>
      </x:c>
      <x:c r="K14" s="132" t="n">
        <x:f>Resultados!M11</x:f>
        <x:v>195.7419607826846</x:v>
      </x:c>
      <x:c r="L14" s="117" t="str">
        <x:f>Resultados!N11</x:f>
        <x:v>ATINGE META</x:v>
      </x:c>
      <x:c r="M14" s="131" t="n">
        <x:f>RotaPro!E11</x:f>
        <x:v>3.0220308049117754</x:v>
      </x:c>
      <x:c r="N14" s="162" t="n">
        <x:f>RotaPro!G11</x:f>
        <x:v>0.5181720989818779</x:v>
      </x:c>
    </x:row>
    <x:row r="15" ht="23" customHeight="1">
      <x:c r="A15" s="27" t="str">
        <x:f>Resultados!A12</x:f>
        <x:v>Equilibrado</x:v>
      </x:c>
      <x:c r="B15" s="27" t="n">
        <x:f>Resultados!B12</x:f>
        <x:v>3</x:v>
      </x:c>
      <x:c r="C15" s="27" t="str">
        <x:f>Resultados!C12</x:f>
        <x:v>15% SM</x:v>
      </x:c>
      <x:c r="D15" s="156" t="n">
        <x:f>Custos!G12</x:f>
        <x:v>694.965744</x:v>
      </x:c>
      <x:c r="E15" s="174" t="n">
        <x:f>Custos!W12</x:f>
        <x:v>417.40334144499144</x:v>
      </x:c>
      <x:c r="F15" s="174" t="n">
        <x:f>Custos!V12</x:f>
        <x:v>1788.8714633356776</x:v>
      </x:c>
      <x:c r="G15" s="174" t="n">
        <x:f>Custos!X12</x:f>
        <x:v>21466.45756002813</x:v>
      </x:c>
      <x:c r="H15" s="175" t="n">
        <x:f>Custos!Y12</x:f>
        <x:v>2.5740426471087727</x:v>
      </x:c>
      <x:c r="I15" s="131" t="n">
        <x:f>Resultados!H12</x:f>
        <x:v>1406.478291428571</x:v>
      </x:c>
      <x:c r="J15" s="132" t="n">
        <x:f>Resultados!L12</x:f>
        <x:v>-382.39317190710653</x:v>
      </x:c>
      <x:c r="K15" s="132" t="n">
        <x:f>Resultados!M12</x:f>
        <x:v>-625.5431719071065</x:v>
      </x:c>
      <x:c r="L15" s="117" t="str">
        <x:f>Resultados!N12</x:f>
        <x:v>NÃO ATINGE META</x:v>
      </x:c>
      <x:c r="M15" s="131" t="n">
        <x:f>RotaPro!E12</x:f>
        <x:v>3.7043116023895</x:v>
      </x:c>
      <x:c r="N15" s="162" t="n">
        <x:f>RotaPro!G12</x:f>
        <x:v>0.2530491651770641</x:v>
      </x:c>
    </x:row>
    <x:row r="16" ht="23" customHeight="1">
      <x:c r="A16" s="27" t="str">
        <x:f>Resultados!A13</x:f>
        <x:v>Equilibrado</x:v>
      </x:c>
      <x:c r="B16" s="27" t="n">
        <x:f>Resultados!B13</x:f>
        <x:v>3</x:v>
      </x:c>
      <x:c r="C16" s="27" t="str">
        <x:f>Resultados!C13</x:f>
        <x:v>100% SM</x:v>
      </x:c>
      <x:c r="D16" s="156" t="n">
        <x:f>Custos!G13</x:f>
        <x:v>525.461904</x:v>
      </x:c>
      <x:c r="E16" s="174" t="n">
        <x:f>Custos!W13</x:f>
        <x:v>378.5138001711453</x:v>
      </x:c>
      <x:c r="F16" s="174" t="n">
        <x:f>Custos!V13</x:f>
        <x:v>1622.2020007334797</x:v>
      </x:c>
      <x:c r="G16" s="174" t="n">
        <x:f>Custos!X13</x:f>
        <x:v>19466.424008801758</x:v>
      </x:c>
      <x:c r="H16" s="175" t="n">
        <x:f>Custos!Y13</x:f>
        <x:v>3.0871924080218</x:v>
      </x:c>
      <x:c r="I16" s="131" t="n">
        <x:f>Resultados!H13</x:f>
        <x:v>1063.4348057142854</x:v>
      </x:c>
      <x:c r="J16" s="132" t="n">
        <x:f>Resultados!L13</x:f>
        <x:v>-558.7671950191943</x:v>
      </x:c>
      <x:c r="K16" s="132" t="n">
        <x:f>Resultados!M13</x:f>
        <x:v>-2179.7671950191943</x:v>
      </x:c>
      <x:c r="L16" s="117" t="str">
        <x:f>Resultados!N13</x:f>
        <x:v>NÃO ATINGE META</x:v>
      </x:c>
      <x:c r="M16" s="131" t="n">
        <x:f>RotaPro!E13</x:f>
        <x:v>8.125447255594244</x:v>
      </x:c>
      <x:c r="N16" s="162" t="n">
        <x:f>RotaPro!G13</x:f>
        <x:v>0.5857934635416961</x:v>
      </x:c>
    </x:row>
    <x:row r="17" ht="23" customHeight="1">
      <x:c r="A17" s="27" t="str">
        <x:f>Resultados!A14</x:f>
        <x:v>Equilibrado</x:v>
      </x:c>
      <x:c r="B17" s="27" t="n">
        <x:f>Resultados!B14</x:f>
        <x:v>6</x:v>
      </x:c>
      <x:c r="C17" s="27" t="str">
        <x:f>Resultados!C14</x:f>
        <x:v>15% SM</x:v>
      </x:c>
      <x:c r="D17" s="156" t="n">
        <x:f>Custos!G14</x:f>
        <x:v>1389.931488</x:v>
      </x:c>
      <x:c r="E17" s="174" t="n">
        <x:f>Custos!W14</x:f>
        <x:v>576.8504606677608</x:v>
      </x:c>
      <x:c r="F17" s="174" t="n">
        <x:f>Custos!V14</x:f>
        <x:v>2472.2162600046886</x:v>
      </x:c>
      <x:c r="G17" s="174" t="n">
        <x:f>Custos!X14</x:f>
        <x:v>29666.595120056263</x:v>
      </x:c>
      <x:c r="H17" s="175" t="n">
        <x:f>Custos!Y14</x:f>
        <x:v>1.7786605176935806</x:v>
      </x:c>
      <x:c r="I17" s="131" t="n">
        <x:f>Resultados!H14</x:f>
        <x:v>2812.956582857142</x:v>
      </x:c>
      <x:c r="J17" s="132" t="n">
        <x:f>Resultados!L14</x:f>
        <x:v>340.7403228524536</x:v>
      </x:c>
      <x:c r="K17" s="132" t="n">
        <x:f>Resultados!M14</x:f>
        <x:v>97.5903228524536</x:v>
      </x:c>
      <x:c r="L17" s="117" t="str">
        <x:f>Resultados!N14</x:f>
        <x:v>ATINGE META</x:v>
      </x:c>
      <x:c r="M17" s="131" t="n">
        <x:f>RotaPro!E14</x:f>
        <x:v>2.3835998895138384</x:v>
      </x:c>
      <x:c r="N17" s="162" t="n">
        <x:f>RotaPro!G14</x:f>
        <x:v>0.22848090642714802</x:v>
      </x:c>
    </x:row>
    <x:row r="18" ht="23" customHeight="1">
      <x:c r="A18" s="27" t="str">
        <x:f>Resultados!A15</x:f>
        <x:v>Equilibrado</x:v>
      </x:c>
      <x:c r="B18" s="27" t="n">
        <x:f>Resultados!B15</x:f>
        <x:v>6</x:v>
      </x:c>
      <x:c r="C18" s="27" t="str">
        <x:f>Resultados!C15</x:f>
        <x:v>100% SM</x:v>
      </x:c>
      <x:c r="D18" s="156" t="n">
        <x:f>Custos!G15</x:f>
        <x:v>1050.923808</x:v>
      </x:c>
      <x:c r="E18" s="174" t="n">
        <x:f>Custos!W15</x:f>
        <x:v>499.07137812006835</x:v>
      </x:c>
      <x:c r="F18" s="174" t="n">
        <x:f>Custos!V15</x:f>
        <x:v>2138.877334800293</x:v>
      </x:c>
      <x:c r="G18" s="174" t="n">
        <x:f>Custos!X15</x:f>
        <x:v>25666.528017603516</x:v>
      </x:c>
      <x:c r="H18" s="175" t="n">
        <x:f>Custos!Y15</x:f>
        <x:v>2.035235398150094</x:v>
      </x:c>
      <x:c r="I18" s="131" t="n">
        <x:f>Resultados!H15</x:f>
        <x:v>2126.869611428571</x:v>
      </x:c>
      <x:c r="J18" s="132" t="n">
        <x:f>Resultados!L15</x:f>
        <x:v>-12.007723371722022</x:v>
      </x:c>
      <x:c r="K18" s="132" t="n">
        <x:f>Resultados!M15</x:f>
        <x:v>-1633.007723371722</x:v>
      </x:c>
      <x:c r="L18" s="117" t="str">
        <x:f>Resultados!N15</x:f>
        <x:v>NÃO ATINGE META</x:v>
      </x:c>
      <x:c r="M18" s="131" t="n">
        <x:f>RotaPro!E15</x:f>
        <x:v>4.59416771611621</x:v>
      </x:c>
      <x:c r="N18" s="162" t="n">
        <x:f>RotaPro!G15</x:f>
        <x:v>0.5345554801516141</x:v>
      </x:c>
    </x:row>
    <x:row r="19" ht="23" customHeight="1">
      <x:c r="A19" s="27" t="str">
        <x:f>Resultados!A16</x:f>
        <x:v>Equilibrado</x:v>
      </x:c>
      <x:c r="B19" s="27" t="n">
        <x:f>Resultados!B16</x:f>
        <x:v>8</x:v>
      </x:c>
      <x:c r="C19" s="27" t="str">
        <x:f>Resultados!C16</x:f>
        <x:v>15% SM</x:v>
      </x:c>
      <x:c r="D19" s="156" t="n">
        <x:f>Custos!G16</x:f>
        <x:v>1853.2419839999995</x:v>
      </x:c>
      <x:c r="E19" s="174" t="n">
        <x:f>Custos!W16</x:f>
        <x:v>683.1485401496067</x:v>
      </x:c>
      <x:c r="F19" s="174" t="n">
        <x:f>Custos!V16</x:f>
        <x:v>2927.7794577840286</x:v>
      </x:c>
      <x:c r="G19" s="174" t="n">
        <x:f>Custos!X16</x:f>
        <x:v>35133.353493408344</x:v>
      </x:c>
      <x:c r="H19" s="175" t="n">
        <x:f>Custos!Y16</x:f>
        <x:v>1.5798149853397825</x:v>
      </x:c>
      <x:c r="I19" s="131" t="n">
        <x:f>Resultados!H16</x:f>
        <x:v>3750.6087771428565</x:v>
      </x:c>
      <x:c r="J19" s="132" t="n">
        <x:f>Resultados!L16</x:f>
        <x:v>822.8293193588279</x:v>
      </x:c>
      <x:c r="K19" s="132" t="n">
        <x:f>Resultados!M16</x:f>
        <x:v>579.6793193588279</x:v>
      </x:c>
      <x:c r="L19" s="117" t="str">
        <x:f>Resultados!N16</x:f>
        <x:v>ATINGE META</x:v>
      </x:c>
      <x:c r="M19" s="131" t="n">
        <x:f>RotaPro!E16</x:f>
        <x:v>2.053421961294922</x:v>
      </x:c>
      <x:c r="N19" s="162" t="n">
        <x:f>RotaPro!G16</x:f>
        <x:v>0.21740080603214307</x:v>
      </x:c>
    </x:row>
    <x:row r="20" ht="23" customHeight="1">
      <x:c r="A20" s="27" t="str">
        <x:f>Resultados!A17</x:f>
        <x:v>Equilibrado</x:v>
      </x:c>
      <x:c r="B20" s="27" t="n">
        <x:f>Resultados!B17</x:f>
        <x:v>8</x:v>
      </x:c>
      <x:c r="C20" s="27" t="str">
        <x:f>Resultados!C17</x:f>
        <x:v>100% SM</x:v>
      </x:c>
      <x:c r="D20" s="156" t="n">
        <x:f>Custos!G17</x:f>
        <x:v>1401.2317439999997</x:v>
      </x:c>
      <x:c r="E20" s="174" t="n">
        <x:f>Custos!W17</x:f>
        <x:v>579.4430967526837</x:v>
      </x:c>
      <x:c r="F20" s="174" t="n">
        <x:f>Custos!V17</x:f>
        <x:v>2483.3275575115013</x:v>
      </x:c>
      <x:c r="G20" s="174" t="n">
        <x:f>Custos!X17</x:f>
        <x:v>29799.930690138015</x:v>
      </x:c>
      <x:c r="H20" s="175" t="n">
        <x:f>Custos!Y17</x:f>
        <x:v>1.7722461456821677</x:v>
      </x:c>
      <x:c r="I20" s="131" t="n">
        <x:f>Resultados!H17</x:f>
        <x:v>2835.8261485714283</x:v>
      </x:c>
      <x:c r="J20" s="132" t="n">
        <x:f>Resultados!L17</x:f>
        <x:v>352.4985910599271</x:v>
      </x:c>
      <x:c r="K20" s="132" t="n">
        <x:f>Resultados!M17</x:f>
        <x:v>-1268.501408940073</x:v>
      </x:c>
      <x:c r="L20" s="117" t="str">
        <x:f>Resultados!N17</x:f>
        <x:v>NÃO ATINGE META</x:v>
      </x:c>
      <x:c r="M20" s="131" t="n">
        <x:f>RotaPro!E17</x:f>
        <x:v>3.7113478312467016</x:v>
      </x:c>
      <x:c r="N20" s="162" t="n">
        <x:f>RotaPro!G17</x:f>
        <x:v>0.5065109832161656</x:v>
      </x:c>
    </x:row>
    <x:row r="21" ht="23" customHeight="1">
      <x:c r="A21" s="27" t="str">
        <x:f>Resultados!A18</x:f>
        <x:v>Pessimista</x:v>
      </x:c>
      <x:c r="B21" s="27" t="n">
        <x:f>Resultados!B18</x:f>
        <x:v>3</x:v>
      </x:c>
      <x:c r="C21" s="27" t="str">
        <x:f>Resultados!C18</x:f>
        <x:v>15% SM</x:v>
      </x:c>
      <x:c r="D21" s="156" t="n">
        <x:f>Custos!G18</x:f>
        <x:v>515.7487542857141</x:v>
      </x:c>
      <x:c r="E21" s="174" t="n">
        <x:f>Custos!W18</x:f>
        <x:v>396.96885089914537</x:v>
      </x:c>
      <x:c r="F21" s="174" t="n">
        <x:f>Custos!V18</x:f>
        <x:v>1701.2950752820514</x:v>
      </x:c>
      <x:c r="G21" s="174" t="n">
        <x:f>Custos!X18</x:f>
        <x:v>20415.540903384615</x:v>
      </x:c>
      <x:c r="H21" s="175" t="n">
        <x:f>Custos!Y18</x:f>
        <x:v>3.2986896451902417</x:v>
      </x:c>
      <x:c r="I21" s="131" t="n">
        <x:f>Resultados!H18</x:f>
        <x:v>681.1776</x:v>
      </x:c>
      <x:c r="J21" s="132" t="n">
        <x:f>Resultados!L18</x:f>
        <x:v>-1020.1174752820514</x:v>
      </x:c>
      <x:c r="K21" s="132" t="n">
        <x:f>Resultados!M18</x:f>
        <x:v>-1263.2674752820512</x:v>
      </x:c>
      <x:c r="L21" s="117" t="str">
        <x:f>Resultados!N18</x:f>
        <x:v>NÃO ATINGE META</x:v>
      </x:c>
      <x:c r="M21" s="131" t="n">
        <x:f>RotaPro!E18</x:f>
        <x:v>5.356039635125325</x:v>
      </x:c>
      <x:c r="N21" s="162" t="n">
        <x:f>RotaPro!G18</x:f>
        <x:v>0.25393279795037826</x:v>
      </x:c>
    </x:row>
    <x:row r="22" ht="23" customHeight="1">
      <x:c r="A22" s="27" t="str">
        <x:f>Resultados!A19</x:f>
        <x:v>Pessimista</x:v>
      </x:c>
      <x:c r="B22" s="27" t="n">
        <x:f>Resultados!B19</x:f>
        <x:v>3</x:v>
      </x:c>
      <x:c r="C22" s="27" t="str">
        <x:f>Resultados!C19</x:f>
        <x:v>100% SM</x:v>
      </x:c>
      <x:c r="D22" s="156" t="n">
        <x:f>Custos!G19</x:f>
        <x:v>353.2525714285713</x:v>
      </x:c>
      <x:c r="E22" s="174" t="n">
        <x:f>Custos!W19</x:f>
        <x:v>353.17035145299144</x:v>
      </x:c>
      <x:c r="F22" s="174" t="n">
        <x:f>Custos!V19</x:f>
        <x:v>1513.5872205128203</x:v>
      </x:c>
      <x:c r="G22" s="174" t="n">
        <x:f>Custos!X19</x:f>
        <x:v>18163.046646153845</x:v>
      </x:c>
      <x:c r="H22" s="175" t="n">
        <x:f>Custos!Y19</x:f>
        <x:v>4.284716780381236</x:v>
      </x:c>
      <x:c r="I22" s="131" t="n">
        <x:f>Resultados!H19</x:f>
        <x:v>466.55999999999995</x:v>
      </x:c>
      <x:c r="J22" s="132" t="n">
        <x:f>Resultados!L19</x:f>
        <x:v>-1047.0272205128203</x:v>
      </x:c>
      <x:c r="K22" s="132" t="n">
        <x:f>Resultados!M19</x:f>
        <x:v>-2668.0272205128203</x:v>
      </x:c>
      <x:c r="L22" s="117" t="str">
        <x:f>Resultados!N19</x:f>
        <x:v>NÃO ATINGE META</x:v>
      </x:c>
      <x:c r="M22" s="131" t="n">
        <x:f>RotaPro!E19</x:f>
        <x:v>12.869321644703163</x:v>
      </x:c>
      <x:c r="N22" s="162" t="n">
        <x:f>RotaPro!G19</x:f>
        <x:v>0.5928116503276252</x:v>
      </x:c>
    </x:row>
    <x:row r="23" ht="23" customHeight="1">
      <x:c r="A23" s="27" t="str">
        <x:f>Resultados!A20</x:f>
        <x:v>Pessimista</x:v>
      </x:c>
      <x:c r="B23" s="27" t="n">
        <x:f>Resultados!B20</x:f>
        <x:v>6</x:v>
      </x:c>
      <x:c r="C23" s="27" t="str">
        <x:f>Resultados!C20</x:f>
        <x:v>15% SM</x:v>
      </x:c>
      <x:c r="D23" s="156" t="n">
        <x:f>Custos!G20</x:f>
        <x:v>1031.4975085714282</x:v>
      </x:c>
      <x:c r="E23" s="174" t="n">
        <x:f>Custos!W20</x:f>
        <x:v>535.9814795760684</x:v>
      </x:c>
      <x:c r="F23" s="174" t="n">
        <x:f>Custos!V20</x:f>
        <x:v>2297.063483897436</x:v>
      </x:c>
      <x:c r="G23" s="174" t="n">
        <x:f>Custos!X20</x:f>
        <x:v>27564.76180676923</x:v>
      </x:c>
      <x:c r="H23" s="175" t="n">
        <x:f>Custos!Y20</x:f>
        <x:v>2.2269210199826395</x:v>
      </x:c>
      <x:c r="I23" s="131" t="n">
        <x:f>Resultados!H20</x:f>
        <x:v>1362.3552</x:v>
      </x:c>
      <x:c r="J23" s="132" t="n">
        <x:f>Resultados!L20</x:f>
        <x:v>-934.7082838974361</x:v>
      </x:c>
      <x:c r="K23" s="132" t="n">
        <x:f>Resultados!M20</x:f>
        <x:v>-1177.8582838974362</x:v>
      </x:c>
      <x:c r="L23" s="117" t="str">
        <x:f>Resultados!N20</x:f>
        <x:v>NÃO ATINGE META</x:v>
      </x:c>
      <x:c r="M23" s="131" t="n">
        <x:f>RotaPro!E20</x:f>
        <x:v>3.431118108160953</x:v>
      </x:c>
      <x:c r="N23" s="162" t="n">
        <x:f>RotaPro!G20</x:f>
        <x:v>0.22955273193666803</x:v>
      </x:c>
    </x:row>
    <x:row r="24" ht="23" customHeight="1">
      <x:c r="A24" s="27" t="str">
        <x:f>Resultados!A21</x:f>
        <x:v>Pessimista</x:v>
      </x:c>
      <x:c r="B24" s="27" t="n">
        <x:f>Resultados!B21</x:f>
        <x:v>6</x:v>
      </x:c>
      <x:c r="C24" s="27" t="str">
        <x:f>Resultados!C21</x:f>
        <x:v>100% SM</x:v>
      </x:c>
      <x:c r="D24" s="156" t="n">
        <x:f>Custos!G21</x:f>
        <x:v>706.5051428571426</x:v>
      </x:c>
      <x:c r="E24" s="174" t="n">
        <x:f>Custos!W21</x:f>
        <x:v>448.38448068376056</x:v>
      </x:c>
      <x:c r="F24" s="174" t="n">
        <x:f>Custos!V21</x:f>
        <x:v>1921.647774358974</x:v>
      </x:c>
      <x:c r="G24" s="174" t="n">
        <x:f>Custos!X21</x:f>
        <x:v>23059.773292307687</x:v>
      </x:c>
      <x:c r="H24" s="175" t="n">
        <x:f>Custos!Y21</x:f>
        <x:v>2.7199345875781358</x:v>
      </x:c>
      <x:c r="I24" s="131" t="n">
        <x:f>Resultados!H21</x:f>
        <x:v>933.1199999999999</x:v>
      </x:c>
      <x:c r="J24" s="132" t="n">
        <x:f>Resultados!L21</x:f>
        <x:v>-988.527774358974</x:v>
      </x:c>
      <x:c r="K24" s="132" t="n">
        <x:f>Resultados!M21</x:f>
        <x:v>-2609.527774358974</x:v>
      </x:c>
      <x:c r="L24" s="117" t="str">
        <x:f>Resultados!N21</x:f>
        <x:v>NÃO ATINGE META</x:v>
      </x:c>
      <x:c r="M24" s="131" t="n">
        <x:f>RotaPro!E21</x:f>
        <x:v>7.1877591129498715</x:v>
      </x:c>
      <x:c r="N24" s="162" t="n">
        <x:f>RotaPro!G21</x:f>
        <x:v>0.5456676148781752</x:v>
      </x:c>
    </x:row>
    <x:row r="25" ht="23" customHeight="1">
      <x:c r="A25" s="27" t="str">
        <x:f>Resultados!A22</x:f>
        <x:v>Pessimista</x:v>
      </x:c>
      <x:c r="B25" s="27" t="n">
        <x:f>Resultados!B22</x:f>
        <x:v>8</x:v>
      </x:c>
      <x:c r="C25" s="27" t="str">
        <x:f>Resultados!C22</x:f>
        <x:v>15% SM</x:v>
      </x:c>
      <x:c r="D25" s="156" t="n">
        <x:f>Custos!G22</x:f>
        <x:v>1375.3300114285712</x:v>
      </x:c>
      <x:c r="E25" s="174" t="n">
        <x:f>Custos!W22</x:f>
        <x:v>628.6565653606837</x:v>
      </x:c>
      <x:c r="F25" s="174" t="n">
        <x:f>Custos!V22</x:f>
        <x:v>2694.2424229743588</x:v>
      </x:c>
      <x:c r="G25" s="174" t="n">
        <x:f>Custos!X22</x:f>
        <x:v>32330.909075692303</x:v>
      </x:c>
      <x:c r="H25" s="175" t="n">
        <x:f>Custos!Y22</x:f>
        <x:v>1.958978863680738</x:v>
      </x:c>
      <x:c r="I25" s="131" t="n">
        <x:f>Resultados!H22</x:f>
        <x:v>1816.4735999999998</x:v>
      </x:c>
      <x:c r="J25" s="132" t="n">
        <x:f>Resultados!L22</x:f>
        <x:v>-877.768822974359</x:v>
      </x:c>
      <x:c r="K25" s="132" t="n">
        <x:f>Resultados!M22</x:f>
        <x:v>-1120.918822974359</x:v>
      </x:c>
      <x:c r="L25" s="117" t="str">
        <x:f>Resultados!N22</x:f>
        <x:v>NÃO ATINGE META</x:v>
      </x:c>
      <x:c r="M25" s="131" t="n">
        <x:f>RotaPro!E22</x:f>
        <x:v>2.94988772641986</x:v>
      </x:c>
      <x:c r="N25" s="162" t="n">
        <x:f>RotaPro!G22</x:f>
        <x:v>0.21848615822380302</x:v>
      </x:c>
    </x:row>
    <x:row r="26" ht="23" customHeight="1">
      <x:c r="A26" s="27" t="str">
        <x:f>Resultados!A23</x:f>
        <x:v>Pessimista</x:v>
      </x:c>
      <x:c r="B26" s="27" t="n">
        <x:f>Resultados!B23</x:f>
        <x:v>8</x:v>
      </x:c>
      <x:c r="C26" s="27" t="str">
        <x:f>Resultados!C23</x:f>
        <x:v>100% SM</x:v>
      </x:c>
      <x:c r="D26" s="156" t="n">
        <x:f>Custos!G23</x:f>
        <x:v>942.0068571428569</x:v>
      </x:c>
      <x:c r="E26" s="174" t="n">
        <x:f>Custos!W23</x:f>
        <x:v>511.8605668376068</x:v>
      </x:c>
      <x:c r="F26" s="174" t="n">
        <x:f>Custos!V23</x:f>
        <x:v>2193.6881435897435</x:v>
      </x:c>
      <x:c r="G26" s="174" t="n">
        <x:f>Custos!X23</x:f>
        <x:v>26324.257723076924</x:v>
      </x:c>
      <x:c r="H26" s="175" t="n">
        <x:f>Custos!Y23</x:f>
        <x:v>2.328739039377361</x:v>
      </x:c>
      <x:c r="I26" s="131" t="n">
        <x:f>Resultados!H23</x:f>
        <x:v>1244.16</x:v>
      </x:c>
      <x:c r="J26" s="132" t="n">
        <x:f>Resultados!L23</x:f>
        <x:v>-949.5281435897434</x:v>
      </x:c>
      <x:c r="K26" s="132" t="n">
        <x:f>Resultados!M23</x:f>
        <x:v>-2570.528143589743</x:v>
      </x:c>
      <x:c r="L26" s="117" t="str">
        <x:f>Resultados!N23</x:f>
        <x:v>NÃO ATINGE META</x:v>
      </x:c>
      <x:c r="M26" s="131" t="n">
        <x:f>RotaPro!E23</x:f>
        <x:v>5.76736848001155</x:v>
      </x:c>
      <x:c r="N26" s="162" t="n">
        <x:f>RotaPro!G23</x:f>
        <x:v>0.5193682827854282</x:v>
      </x:c>
    </x:row>
    <x:row r="27" ht="23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 ht="23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 ht="23" customHeight="1">
      <x:c r="A29" s="50" t="str">
        <x:v>Manutenção é RESERVA por km, não despesa paga todo mês. Prestação integral é obrigação de caixa; depreciação econômica não quantificada fica fora do total. Custos pendentes podem elevá-lo.</x:v>
      </x:c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</x:row>
    <x:row r="30" ht="23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 ht="23" customHeight="1">
      <x:c r="A31" s="50" t="str">
        <x:v>PERÍMETRO: núcleo urbano preferencial ≈ 8 km; nota obrigatória ≥ 4,80; sem piso nominal por corrida; não presumir que o Rota Pro tenha geocerca para excluir bairros afastados.</x:v>
      </x:c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</x:row>
    <x:row r="32" ht="23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</x:sheetData>
  <x:mergeCells>
    <x:mergeCell ref="A1:N1"/>
    <x:mergeCell ref="A2:N2"/>
    <x:mergeCell ref="A6:N6"/>
    <x:mergeCell ref="A29:N29"/>
    <x:mergeCell ref="A31:N31"/>
  </x:mergeCells>
  <x:conditionalFormatting sqref="L9:L26">
    <x:cfRule type="expression" dxfId="0" priority="1">
      <x:formula>$L9="ATINGE META"</x:formula>
    </x:cfRule>
    <x:cfRule type="expression" dxfId="1" priority="2">
      <x:formula>$L9="NÃO ATINGE META"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</x:cols>
  <x:sheetData>
    <x:row r="1" ht="33" customHeight="1">
      <x:c r="A1" s="4" t="str">
        <x:v>CUSTO INTEGRAL DA OPERAÇÃO | POR CENÁRIO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26" t="str">
        <x:v>TOTAL PLANEJADO = obrigações fixas + combustível + RESERVA de manutenção + despesas adicionais + dízimo + tributo informado. A reserva não é pagamento mensal garantido.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23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23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54" customHeight="1">
      <x:c r="A5" s="17" t="str">
        <x:v>Perfil</x:v>
      </x:c>
      <x:c r="B5" s="17" t="str">
        <x:v>Horas/dia</x:v>
      </x:c>
      <x:c r="C5" s="17" t="str">
        <x:v>Objetivo LLF</x:v>
      </x:c>
      <x:c r="D5" s="17" t="str">
        <x:v>Corridas/h previstas</x:v>
      </x:c>
      <x:c r="E5" s="17" t="str">
        <x:v>Rodagem/dia (km)</x:v>
      </x:c>
      <x:c r="F5" s="17" t="str">
        <x:v>Rodagem/semana (km)</x:v>
      </x:c>
      <x:c r="G5" s="17" t="str">
        <x:v>Rodagem/mês (km)</x:v>
      </x:c>
      <x:c r="H5" s="17" t="str">
        <x:v>Rodagem/ano (km)</x:v>
      </x:c>
      <x:c r="I5" s="17" t="str">
        <x:v>Combustível (R$/km)</x:v>
      </x:c>
      <x:c r="J5" s="17" t="str">
        <x:v>Manutenção (R$/km)</x:v>
      </x:c>
      <x:c r="K5" s="17" t="str">
        <x:v>Fixos (R$/mês)</x:v>
      </x:c>
      <x:c r="L5" s="17" t="str">
        <x:v>Combustível (R$/mês)</x:v>
      </x:c>
      <x:c r="M5" s="17" t="str">
        <x:v>Manutenção (R$/mês)</x:v>
      </x:c>
      <x:c r="N5" s="17" t="str">
        <x:v>Outros variáveis (R$/mês)</x:v>
      </x:c>
      <x:c r="O5" s="17" t="str">
        <x:v>Custo operacional (R$/mês)</x:v>
      </x:c>
      <x:c r="P5" s="17" t="str">
        <x:v>Custo operacional (R$/semana)</x:v>
      </x:c>
      <x:c r="Q5" s="17" t="str">
        <x:v>Custo operacional (R$/ano)</x:v>
      </x:c>
      <x:c r="R5" s="17" t="str">
        <x:v>Custo operacional (R$/km)</x:v>
      </x:c>
      <x:c r="S5" s="17" t="str">
        <x:v>Recebido Uber (R$/mês)</x:v>
      </x:c>
      <x:c r="T5" s="17" t="str">
        <x:v>Dízimo (R$/mês)</x:v>
      </x:c>
      <x:c r="U5" s="17" t="str">
        <x:v>Tributo adicional (R$/mês)</x:v>
      </x:c>
      <x:c r="V5" s="17" t="str">
        <x:v>CUSTO TOTAL PLANEJADO (R$/mês)</x:v>
      </x:c>
      <x:c r="W5" s="17" t="str">
        <x:v>CUSTO TOTAL PLANEJADO (R$/sem)</x:v>
      </x:c>
      <x:c r="X5" s="17" t="str">
        <x:v>CUSTO TOTAL PLANEJADO (R$/ano)</x:v>
      </x:c>
      <x:c r="Y5" s="17" t="str">
        <x:v>CUSTO TOTAL PLANEJADO (R$/km)</x:v>
      </x:c>
      <x:c r="Z5" s="17" t="str">
        <x:v>Depreciação extra (R$/mês; fora do caixa)</x:v>
      </x:c>
    </x:row>
    <x:row r="6" ht="23" customHeight="1">
      <x:c r="A6" s="27" t="str">
        <x:v>Otimista</x:v>
      </x:c>
      <x:c r="B6" s="27" t="n">
        <x:v>3</x:v>
      </x:c>
      <x:c r="C6" s="27" t="str">
        <x:v>15% SM</x:v>
      </x:c>
      <x:c r="D6" s="156" t="n">
        <x:f>MIN(Viagens!B6*Viagens!C6*Viagens!D6*Viagens!E6,60/Viagens!G6*Parametros!$B$36)</x:f>
        <x:v>3.942857142857143</x:v>
      </x:c>
      <x:c r="E6" s="156" t="n">
        <x:f>D6*B6*SUM(Viagens!H6:J6)</x:f>
        <x:v>42.582857142857144</x:v>
      </x:c>
      <x:c r="F6" s="156" t="n">
        <x:f>E6*Parametros!$B$6</x:f>
        <x:v>170.33142857142857</x:v>
      </x:c>
      <x:c r="G6" s="156" t="n">
        <x:f>E6*Parametros!$B$11</x:f>
        <x:v>729.9918367346938</x:v>
      </x:c>
      <x:c r="H6" s="156" t="n">
        <x:f>G6*Parametros!$B$8</x:f>
        <x:v>8759.902040816327</x:v>
      </x:c>
      <x:c r="I6" s="150" t="n">
        <x:f>IF(Parametros!$B$22="Etanol",Parametros!$B$20/Viagens!L6,IF(Parametros!$B$22="Gasolina",Parametros!$B$21/Viagens!M6,(Parametros!$B$20*Parametros!$B$23+Parametros!$B$21*(1-Parametros!$B$23))*(Parametros!$B$23/Viagens!L6+(1-Parametros!$B$23)/Viagens!M6)))</x:f>
        <x:v>0.43068181818181817</x:v>
      </x:c>
      <x:c r="J6" s="150" t="n">
        <x:f>Manutencao!B$13</x:f>
        <x:v>0.195</x:v>
      </x:c>
      <x:c r="K6" s="131" t="n">
        <x:f>SUM(Parametros!$B$24:$B$25)+Parametros!$B$26*Parametros!$B$27/Parametros!$B$8+(Parametros!$B$28+Parametros!$B$29)/Parametros!$B$8+SUM(Parametros!$B$30:$B$32)</x:f>
        <x:v>1105.5266666666666</x:v>
      </x:c>
      <x:c r="L6" s="131" t="n">
        <x:f>G6*I6</x:f>
        <x:v>314.3942115027829</x:v>
      </x:c>
      <x:c r="M6" s="131" t="n">
        <x:f>G6*J6</x:f>
        <x:v>142.3484081632653</x:v>
      </x:c>
      <x:c r="N6" s="131" t="n">
        <x:f>D6*B6*Parametros!$B$11*Parametros!$B$33</x:f>
        <x:v>0</x:v>
      </x:c>
      <x:c r="O6" s="138" t="n">
        <x:f>SUM(K6:N6)</x:f>
        <x:v>1562.269286332715</x:v>
      </x:c>
      <x:c r="P6" s="138" t="n">
        <x:f>O6*7/Parametros!$B$7</x:f>
        <x:v>364.52950014430013</x:v>
      </x:c>
      <x:c r="Q6" s="138" t="n">
        <x:f>O6*Parametros!$B$8</x:f>
        <x:v>18747.23143599258</x:v>
      </x:c>
      <x:c r="R6" s="152" t="n">
        <x:f>IF(G6&gt;0,O6/G6,0)</x:f>
        <x:v>2.140118844781687</x:v>
      </x:c>
      <x:c r="S6" s="131" t="n">
        <x:f>D6*B6*Parametros!$B$11*Viagens!K6</x:f>
        <x:v>2027.7551020408164</x:v>
      </x:c>
      <x:c r="T6" s="131" t="n">
        <x:f>S6*Parametros!$B$13</x:f>
        <x:v>202.77551020408166</x:v>
      </x:c>
      <x:c r="U6" s="131" t="n">
        <x:f>S6*Parametros!$B$34</x:f>
        <x:v>0</x:v>
      </x:c>
      <x:c r="V6" s="170" t="n">
        <x:f>SUM(O6,T6:U6)</x:f>
        <x:v>1765.0447965367966</x:v>
      </x:c>
      <x:c r="W6" s="170" t="n">
        <x:f>V6*7/Parametros!$B$7</x:f>
        <x:v>411.8437858585859</x:v>
      </x:c>
      <x:c r="X6" s="170" t="n">
        <x:f>V6*Parametros!$B$8</x:f>
        <x:v>21180.53755844156</x:v>
      </x:c>
      <x:c r="Y6" s="171" t="n">
        <x:f>IF(G6&gt;0,V6/G6,0)</x:f>
        <x:v>2.417896622559465</x:v>
      </x:c>
      <x:c r="Z6" s="42" t="n">
        <x:f>G6*Parametros!$B$35</x:f>
        <x:v>0</x:v>
      </x:c>
    </x:row>
    <x:row r="7" ht="23" customHeight="1">
      <x:c r="A7" s="27" t="str">
        <x:v>Otimista</x:v>
      </x:c>
      <x:c r="B7" s="27" t="n">
        <x:v>3</x:v>
      </x:c>
      <x:c r="C7" s="27" t="str">
        <x:v>100% SM</x:v>
      </x:c>
      <x:c r="D7" s="156" t="n">
        <x:f>MIN(Viagens!B6*Viagens!C6*Viagens!D6*Viagens!F6,60/Viagens!G6*Parametros!$B$36)</x:f>
        <x:v>3.1579200000000003</x:v>
      </x:c>
      <x:c r="E7" s="156" t="n">
        <x:f>D7*B7*SUM(Viagens!H6:J6)</x:f>
        <x:v>34.105536</x:v>
      </x:c>
      <x:c r="F7" s="156" t="n">
        <x:f>E7*Parametros!$B$6</x:f>
        <x:v>136.422144</x:v>
      </x:c>
      <x:c r="G7" s="156" t="n">
        <x:f>E7*Parametros!$B$11</x:f>
        <x:v>584.6663314285714</x:v>
      </x:c>
      <x:c r="H7" s="156" t="n">
        <x:f>G7*Parametros!$B$8</x:f>
        <x:v>7015.995977142857</x:v>
      </x:c>
      <x:c r="I7" s="150" t="n">
        <x:f>IF(Parametros!$B$22="Etanol",Parametros!$B$20/Viagens!L6,IF(Parametros!$B$22="Gasolina",Parametros!$B$21/Viagens!M6,(Parametros!$B$20*Parametros!$B$23+Parametros!$B$21*(1-Parametros!$B$23))*(Parametros!$B$23/Viagens!L6+(1-Parametros!$B$23)/Viagens!M6)))</x:f>
        <x:v>0.43068181818181817</x:v>
      </x:c>
      <x:c r="J7" s="150" t="n">
        <x:f>Manutencao!B$13</x:f>
        <x:v>0.195</x:v>
      </x:c>
      <x:c r="K7" s="131" t="n">
        <x:f>SUM(Parametros!$B$24:$B$25)+Parametros!$B$26*Parametros!$B$27/Parametros!$B$8+(Parametros!$B$28+Parametros!$B$29)/Parametros!$B$8+SUM(Parametros!$B$30:$B$32)</x:f>
        <x:v>1105.5266666666666</x:v>
      </x:c>
      <x:c r="L7" s="131" t="n">
        <x:f>G7*I7</x:f>
        <x:v>251.80515864935063</x:v>
      </x:c>
      <x:c r="M7" s="131" t="n">
        <x:f>G7*J7</x:f>
        <x:v>114.00993462857143</x:v>
      </x:c>
      <x:c r="N7" s="131" t="n">
        <x:f>D7*B7*Parametros!$B$11*Parametros!$B$33</x:f>
        <x:v>0</x:v>
      </x:c>
      <x:c r="O7" s="138" t="n">
        <x:f>SUM(K7:N7)</x:f>
        <x:v>1471.3417599445888</x:v>
      </x:c>
      <x:c r="P7" s="138" t="n">
        <x:f>O7*7/Parametros!$B$7</x:f>
        <x:v>343.31307732040403</x:v>
      </x:c>
      <x:c r="Q7" s="138" t="n">
        <x:f>O7*Parametros!$B$8</x:f>
        <x:v>17656.101119335064</x:v>
      </x:c>
      <x:c r="R7" s="152" t="n">
        <x:f>IF(G7&gt;0,O7/G7,0)</x:f>
        <x:v>2.5165494930236845</x:v>
      </x:c>
      <x:c r="S7" s="131" t="n">
        <x:f>D7*B7*Parametros!$B$11*Viagens!K6</x:f>
        <x:v>1624.0731428571428</x:v>
      </x:c>
      <x:c r="T7" s="131" t="n">
        <x:f>S7*Parametros!$B$13</x:f>
        <x:v>162.40731428571428</x:v>
      </x:c>
      <x:c r="U7" s="131" t="n">
        <x:f>S7*Parametros!$B$34</x:f>
        <x:v>0</x:v>
      </x:c>
      <x:c r="V7" s="170" t="n">
        <x:f>SUM(O7,T7:U7)</x:f>
        <x:v>1633.749074230303</x:v>
      </x:c>
      <x:c r="W7" s="170" t="n">
        <x:f>V7*7/Parametros!$B$7</x:f>
        <x:v>381.208117320404</x:v>
      </x:c>
      <x:c r="X7" s="170" t="n">
        <x:f>V7*Parametros!$B$8</x:f>
        <x:v>19604.988890763634</x:v>
      </x:c>
      <x:c r="Y7" s="171" t="n">
        <x:f>IF(G7&gt;0,V7/G7,0)</x:f>
        <x:v>2.794327270801462</x:v>
      </x:c>
      <x:c r="Z7" s="42" t="n">
        <x:f>G7*Parametros!$B$35</x:f>
        <x:v>0</x:v>
      </x:c>
    </x:row>
    <x:row r="8" ht="23" customHeight="1">
      <x:c r="A8" s="27" t="str">
        <x:v>Otimista</x:v>
      </x:c>
      <x:c r="B8" s="27" t="n">
        <x:v>6</x:v>
      </x:c>
      <x:c r="C8" s="27" t="str">
        <x:v>15% SM</x:v>
      </x:c>
      <x:c r="D8" s="156" t="n">
        <x:f>MIN(Viagens!B6*Viagens!C6*Viagens!D6*Viagens!E6,60/Viagens!G6*Parametros!$B$36)</x:f>
        <x:v>3.942857142857143</x:v>
      </x:c>
      <x:c r="E8" s="156" t="n">
        <x:f>D8*B8*SUM(Viagens!H6:J6)</x:f>
        <x:v>85.16571428571429</x:v>
      </x:c>
      <x:c r="F8" s="156" t="n">
        <x:f>E8*Parametros!$B$6</x:f>
        <x:v>340.66285714285715</x:v>
      </x:c>
      <x:c r="G8" s="156" t="n">
        <x:f>E8*Parametros!$B$11</x:f>
        <x:v>1459.9836734693877</x:v>
      </x:c>
      <x:c r="H8" s="156" t="n">
        <x:f>G8*Parametros!$B$8</x:f>
        <x:v>17519.804081632654</x:v>
      </x:c>
      <x:c r="I8" s="150" t="n">
        <x:f>IF(Parametros!$B$22="Etanol",Parametros!$B$20/Viagens!L6,IF(Parametros!$B$22="Gasolina",Parametros!$B$21/Viagens!M6,(Parametros!$B$20*Parametros!$B$23+Parametros!$B$21*(1-Parametros!$B$23))*(Parametros!$B$23/Viagens!L6+(1-Parametros!$B$23)/Viagens!M6)))</x:f>
        <x:v>0.43068181818181817</x:v>
      </x:c>
      <x:c r="J8" s="150" t="n">
        <x:f>Manutencao!B$13</x:f>
        <x:v>0.195</x:v>
      </x:c>
      <x:c r="K8" s="131" t="n">
        <x:f>SUM(Parametros!$B$24:$B$25)+Parametros!$B$26*Parametros!$B$27/Parametros!$B$8+(Parametros!$B$28+Parametros!$B$29)/Parametros!$B$8+SUM(Parametros!$B$30:$B$32)</x:f>
        <x:v>1105.5266666666666</x:v>
      </x:c>
      <x:c r="L8" s="131" t="n">
        <x:f>G8*I8</x:f>
        <x:v>628.7884230055658</x:v>
      </x:c>
      <x:c r="M8" s="131" t="n">
        <x:f>G8*J8</x:f>
        <x:v>284.6968163265306</x:v>
      </x:c>
      <x:c r="N8" s="131" t="n">
        <x:f>D8*B8*Parametros!$B$11*Parametros!$B$33</x:f>
        <x:v>0</x:v>
      </x:c>
      <x:c r="O8" s="138" t="n">
        <x:f>SUM(K8:N8)</x:f>
        <x:v>2019.011905998763</x:v>
      </x:c>
      <x:c r="P8" s="138" t="n">
        <x:f>O8*7/Parametros!$B$7</x:f>
        <x:v>471.10277806637805</x:v>
      </x:c>
      <x:c r="Q8" s="138" t="n">
        <x:f>O8*Parametros!$B$8</x:f>
        <x:v>24228.142871985157</x:v>
      </x:c>
      <x:c r="R8" s="152" t="n">
        <x:f>IF(G8&gt;0,O8/G8,0)</x:f>
        <x:v>1.3829003314817525</x:v>
      </x:c>
      <x:c r="S8" s="131" t="n">
        <x:f>D8*B8*Parametros!$B$11*Viagens!K6</x:f>
        <x:v>4055.5102040816328</x:v>
      </x:c>
      <x:c r="T8" s="131" t="n">
        <x:f>S8*Parametros!$B$13</x:f>
        <x:v>405.5510204081633</x:v>
      </x:c>
      <x:c r="U8" s="131" t="n">
        <x:f>S8*Parametros!$B$34</x:f>
        <x:v>0</x:v>
      </x:c>
      <x:c r="V8" s="170" t="n">
        <x:f>SUM(O8,T8:U8)</x:f>
        <x:v>2424.562926406926</x:v>
      </x:c>
      <x:c r="W8" s="170" t="n">
        <x:f>V8*7/Parametros!$B$7</x:f>
        <x:v>565.7313494949495</x:v>
      </x:c>
      <x:c r="X8" s="170" t="n">
        <x:f>V8*Parametros!$B$8</x:f>
        <x:v>29094.755116883112</x:v>
      </x:c>
      <x:c r="Y8" s="171" t="n">
        <x:f>IF(G8&gt;0,V8/G8,0)</x:f>
        <x:v>1.6606781092595302</x:v>
      </x:c>
      <x:c r="Z8" s="42" t="n">
        <x:f>G8*Parametros!$B$35</x:f>
        <x:v>0</x:v>
      </x:c>
    </x:row>
    <x:row r="9" ht="23" customHeight="1">
      <x:c r="A9" s="27" t="str">
        <x:v>Otimista</x:v>
      </x:c>
      <x:c r="B9" s="27" t="n">
        <x:v>6</x:v>
      </x:c>
      <x:c r="C9" s="27" t="str">
        <x:v>100% SM</x:v>
      </x:c>
      <x:c r="D9" s="156" t="n">
        <x:f>MIN(Viagens!B6*Viagens!C6*Viagens!D6*Viagens!F6,60/Viagens!G6*Parametros!$B$36)</x:f>
        <x:v>3.1579200000000003</x:v>
      </x:c>
      <x:c r="E9" s="156" t="n">
        <x:f>D9*B9*SUM(Viagens!H6:J6)</x:f>
        <x:v>68.211072</x:v>
      </x:c>
      <x:c r="F9" s="156" t="n">
        <x:f>E9*Parametros!$B$6</x:f>
        <x:v>272.844288</x:v>
      </x:c>
      <x:c r="G9" s="156" t="n">
        <x:f>E9*Parametros!$B$11</x:f>
        <x:v>1169.3326628571429</x:v>
      </x:c>
      <x:c r="H9" s="156" t="n">
        <x:f>G9*Parametros!$B$8</x:f>
        <x:v>14031.991954285713</x:v>
      </x:c>
      <x:c r="I9" s="150" t="n">
        <x:f>IF(Parametros!$B$22="Etanol",Parametros!$B$20/Viagens!L6,IF(Parametros!$B$22="Gasolina",Parametros!$B$21/Viagens!M6,(Parametros!$B$20*Parametros!$B$23+Parametros!$B$21*(1-Parametros!$B$23))*(Parametros!$B$23/Viagens!L6+(1-Parametros!$B$23)/Viagens!M6)))</x:f>
        <x:v>0.43068181818181817</x:v>
      </x:c>
      <x:c r="J9" s="150" t="n">
        <x:f>Manutencao!B$13</x:f>
        <x:v>0.195</x:v>
      </x:c>
      <x:c r="K9" s="131" t="n">
        <x:f>SUM(Parametros!$B$24:$B$25)+Parametros!$B$26*Parametros!$B$27/Parametros!$B$8+(Parametros!$B$28+Parametros!$B$29)/Parametros!$B$8+SUM(Parametros!$B$30:$B$32)</x:f>
        <x:v>1105.5266666666666</x:v>
      </x:c>
      <x:c r="L9" s="131" t="n">
        <x:f>G9*I9</x:f>
        <x:v>503.61031729870126</x:v>
      </x:c>
      <x:c r="M9" s="131" t="n">
        <x:f>G9*J9</x:f>
        <x:v>228.01986925714286</x:v>
      </x:c>
      <x:c r="N9" s="131" t="n">
        <x:f>D9*B9*Parametros!$B$11*Parametros!$B$33</x:f>
        <x:v>0</x:v>
      </x:c>
      <x:c r="O9" s="138" t="n">
        <x:f>SUM(K9:N9)</x:f>
        <x:v>1837.1568532225108</x:v>
      </x:c>
      <x:c r="P9" s="138" t="n">
        <x:f>O9*7/Parametros!$B$7</x:f>
        <x:v>428.66993241858586</x:v>
      </x:c>
      <x:c r="Q9" s="138" t="n">
        <x:f>O9*Parametros!$B$8</x:f>
        <x:v>22045.88223867013</x:v>
      </x:c>
      <x:c r="R9" s="152" t="n">
        <x:f>IF(G9&gt;0,O9/G9,0)</x:f>
        <x:v>1.5711156556027512</x:v>
      </x:c>
      <x:c r="S9" s="131" t="n">
        <x:f>D9*B9*Parametros!$B$11*Viagens!K6</x:f>
        <x:v>3248.1462857142856</x:v>
      </x:c>
      <x:c r="T9" s="131" t="n">
        <x:f>S9*Parametros!$B$13</x:f>
        <x:v>324.81462857142856</x:v>
      </x:c>
      <x:c r="U9" s="131" t="n">
        <x:f>S9*Parametros!$B$34</x:f>
        <x:v>0</x:v>
      </x:c>
      <x:c r="V9" s="170" t="n">
        <x:f>SUM(O9,T9:U9)</x:f>
        <x:v>2161.9714817939393</x:v>
      </x:c>
      <x:c r="W9" s="170" t="n">
        <x:f>V9*7/Parametros!$B$7</x:f>
        <x:v>504.4600124185859</x:v>
      </x:c>
      <x:c r="X9" s="170" t="n">
        <x:f>V9*Parametros!$B$8</x:f>
        <x:v>25943.657781527272</x:v>
      </x:c>
      <x:c r="Y9" s="171" t="n">
        <x:f>IF(G9&gt;0,V9/G9,0)</x:f>
        <x:v>1.848893433380529</x:v>
      </x:c>
      <x:c r="Z9" s="42" t="n">
        <x:f>G9*Parametros!$B$35</x:f>
        <x:v>0</x:v>
      </x:c>
    </x:row>
    <x:row r="10" ht="23" customHeight="1">
      <x:c r="A10" s="27" t="str">
        <x:v>Otimista</x:v>
      </x:c>
      <x:c r="B10" s="27" t="n">
        <x:v>8</x:v>
      </x:c>
      <x:c r="C10" s="27" t="str">
        <x:v>15% SM</x:v>
      </x:c>
      <x:c r="D10" s="156" t="n">
        <x:f>MIN(Viagens!B6*Viagens!C6*Viagens!D6*Viagens!E6,60/Viagens!G6*Parametros!$B$36)</x:f>
        <x:v>3.942857142857143</x:v>
      </x:c>
      <x:c r="E10" s="156" t="n">
        <x:f>D10*B10*SUM(Viagens!H6:J6)</x:f>
        <x:v>113.55428571428571</x:v>
      </x:c>
      <x:c r="F10" s="156" t="n">
        <x:f>E10*Parametros!$B$6</x:f>
        <x:v>454.21714285714285</x:v>
      </x:c>
      <x:c r="G10" s="156" t="n">
        <x:f>E10*Parametros!$B$11</x:f>
        <x:v>1946.6448979591835</x:v>
      </x:c>
      <x:c r="H10" s="156" t="n">
        <x:f>G10*Parametros!$B$8</x:f>
        <x:v>23359.738775510203</x:v>
      </x:c>
      <x:c r="I10" s="150" t="n">
        <x:f>IF(Parametros!$B$22="Etanol",Parametros!$B$20/Viagens!L6,IF(Parametros!$B$22="Gasolina",Parametros!$B$21/Viagens!M6,(Parametros!$B$20*Parametros!$B$23+Parametros!$B$21*(1-Parametros!$B$23))*(Parametros!$B$23/Viagens!L6+(1-Parametros!$B$23)/Viagens!M6)))</x:f>
        <x:v>0.43068181818181817</x:v>
      </x:c>
      <x:c r="J10" s="150" t="n">
        <x:f>Manutencao!B$13</x:f>
        <x:v>0.195</x:v>
      </x:c>
      <x:c r="K10" s="131" t="n">
        <x:f>SUM(Parametros!$B$24:$B$25)+Parametros!$B$26*Parametros!$B$27/Parametros!$B$8+(Parametros!$B$28+Parametros!$B$29)/Parametros!$B$8+SUM(Parametros!$B$30:$B$32)</x:f>
        <x:v>1105.5266666666666</x:v>
      </x:c>
      <x:c r="L10" s="131" t="n">
        <x:f>G10*I10</x:f>
        <x:v>838.3845640074211</x:v>
      </x:c>
      <x:c r="M10" s="131" t="n">
        <x:f>G10*J10</x:f>
        <x:v>379.5957551020408</x:v>
      </x:c>
      <x:c r="N10" s="131" t="n">
        <x:f>D10*B10*Parametros!$B$11*Parametros!$B$33</x:f>
        <x:v>0</x:v>
      </x:c>
      <x:c r="O10" s="138" t="n">
        <x:f>SUM(K10:N10)</x:f>
        <x:v>2323.506985776128</x:v>
      </x:c>
      <x:c r="P10" s="138" t="n">
        <x:f>O10*7/Parametros!$B$7</x:f>
        <x:v>542.1516300144299</x:v>
      </x:c>
      <x:c r="Q10" s="138" t="n">
        <x:f>O10*Parametros!$B$8</x:f>
        <x:v>27882.08382931354</x:v>
      </x:c>
      <x:c r="R10" s="152" t="n">
        <x:f>IF(G10&gt;0,O10/G10,0)</x:f>
        <x:v>1.1935957031567688</x:v>
      </x:c>
      <x:c r="S10" s="131" t="n">
        <x:f>D10*B10*Parametros!$B$11*Viagens!K6</x:f>
        <x:v>5407.34693877551</x:v>
      </x:c>
      <x:c r="T10" s="131" t="n">
        <x:f>S10*Parametros!$B$13</x:f>
        <x:v>540.7346938775511</x:v>
      </x:c>
      <x:c r="U10" s="131" t="n">
        <x:f>S10*Parametros!$B$34</x:f>
        <x:v>0</x:v>
      </x:c>
      <x:c r="V10" s="170" t="n">
        <x:f>SUM(O10,T10:U10)</x:f>
        <x:v>2864.241679653679</x:v>
      </x:c>
      <x:c r="W10" s="170" t="n">
        <x:f>V10*7/Parametros!$B$7</x:f>
        <x:v>668.3230585858585</x:v>
      </x:c>
      <x:c r="X10" s="170" t="n">
        <x:f>V10*Parametros!$B$8</x:f>
        <x:v>34370.90015584415</x:v>
      </x:c>
      <x:c r="Y10" s="171" t="n">
        <x:f>IF(G10&gt;0,V10/G10,0)</x:f>
        <x:v>1.4713734809345467</x:v>
      </x:c>
      <x:c r="Z10" s="42" t="n">
        <x:f>G10*Parametros!$B$35</x:f>
        <x:v>0</x:v>
      </x:c>
    </x:row>
    <x:row r="11" ht="23" customHeight="1">
      <x:c r="A11" s="27" t="str">
        <x:v>Otimista</x:v>
      </x:c>
      <x:c r="B11" s="27" t="n">
        <x:v>8</x:v>
      </x:c>
      <x:c r="C11" s="27" t="str">
        <x:v>100% SM</x:v>
      </x:c>
      <x:c r="D11" s="156" t="n">
        <x:f>MIN(Viagens!B6*Viagens!C6*Viagens!D6*Viagens!F6,60/Viagens!G6*Parametros!$B$36)</x:f>
        <x:v>3.1579200000000003</x:v>
      </x:c>
      <x:c r="E11" s="156" t="n">
        <x:f>D11*B11*SUM(Viagens!H6:J6)</x:f>
        <x:v>90.94809599999999</x:v>
      </x:c>
      <x:c r="F11" s="156" t="n">
        <x:f>E11*Parametros!$B$6</x:f>
        <x:v>363.79238399999997</x:v>
      </x:c>
      <x:c r="G11" s="156" t="n">
        <x:f>E11*Parametros!$B$11</x:f>
        <x:v>1559.110217142857</x:v>
      </x:c>
      <x:c r="H11" s="156" t="n">
        <x:f>G11*Parametros!$B$8</x:f>
        <x:v>18709.322605714282</x:v>
      </x:c>
      <x:c r="I11" s="150" t="n">
        <x:f>IF(Parametros!$B$22="Etanol",Parametros!$B$20/Viagens!L6,IF(Parametros!$B$22="Gasolina",Parametros!$B$21/Viagens!M6,(Parametros!$B$20*Parametros!$B$23+Parametros!$B$21*(1-Parametros!$B$23))*(Parametros!$B$23/Viagens!L6+(1-Parametros!$B$23)/Viagens!M6)))</x:f>
        <x:v>0.43068181818181817</x:v>
      </x:c>
      <x:c r="J11" s="150" t="n">
        <x:f>Manutencao!B$13</x:f>
        <x:v>0.195</x:v>
      </x:c>
      <x:c r="K11" s="131" t="n">
        <x:f>SUM(Parametros!$B$24:$B$25)+Parametros!$B$26*Parametros!$B$27/Parametros!$B$8+(Parametros!$B$28+Parametros!$B$29)/Parametros!$B$8+SUM(Parametros!$B$30:$B$32)</x:f>
        <x:v>1105.5266666666666</x:v>
      </x:c>
      <x:c r="L11" s="131" t="n">
        <x:f>G11*I11</x:f>
        <x:v>671.4804230649349</x:v>
      </x:c>
      <x:c r="M11" s="131" t="n">
        <x:f>G11*J11</x:f>
        <x:v>304.0264923428571</x:v>
      </x:c>
      <x:c r="N11" s="131" t="n">
        <x:f>D11*B11*Parametros!$B$11*Parametros!$B$33</x:f>
        <x:v>0</x:v>
      </x:c>
      <x:c r="O11" s="138" t="n">
        <x:f>SUM(K11:N11)</x:f>
        <x:v>2081.0335820744585</x:v>
      </x:c>
      <x:c r="P11" s="138" t="n">
        <x:f>O11*7/Parametros!$B$7</x:f>
        <x:v>485.57450248404035</x:v>
      </x:c>
      <x:c r="Q11" s="138" t="n">
        <x:f>O11*Parametros!$B$8</x:f>
        <x:v>24972.402984893502</x:v>
      </x:c>
      <x:c r="R11" s="152" t="n">
        <x:f>IF(G11&gt;0,O11/G11,0)</x:f>
        <x:v>1.3347571962475178</x:v>
      </x:c>
      <x:c r="S11" s="131" t="n">
        <x:f>D11*B11*Parametros!$B$11*Viagens!K6</x:f>
        <x:v>4330.861714285715</x:v>
      </x:c>
      <x:c r="T11" s="131" t="n">
        <x:f>S11*Parametros!$B$13</x:f>
        <x:v>433.0861714285715</x:v>
      </x:c>
      <x:c r="U11" s="131" t="n">
        <x:f>S11*Parametros!$B$34</x:f>
        <x:v>0</x:v>
      </x:c>
      <x:c r="V11" s="170" t="n">
        <x:f>SUM(O11,T11:U11)</x:f>
        <x:v>2514.11975350303</x:v>
      </x:c>
      <x:c r="W11" s="170" t="n">
        <x:f>V11*7/Parametros!$B$7</x:f>
        <x:v>586.6279424840403</x:v>
      </x:c>
      <x:c r="X11" s="170" t="n">
        <x:f>V11*Parametros!$B$8</x:f>
        <x:v>30169.437042036363</x:v>
      </x:c>
      <x:c r="Y11" s="171" t="n">
        <x:f>IF(G11&gt;0,V11/G11,0)</x:f>
        <x:v>1.6125349740252957</x:v>
      </x:c>
      <x:c r="Z11" s="42" t="n">
        <x:f>G11*Parametros!$B$35</x:f>
        <x:v>0</x:v>
      </x:c>
    </x:row>
    <x:row r="12" ht="23" customHeight="1">
      <x:c r="A12" s="27" t="str">
        <x:v>Equilibrado</x:v>
      </x:c>
      <x:c r="B12" s="27" t="n">
        <x:v>3</x:v>
      </x:c>
      <x:c r="C12" s="27" t="str">
        <x:v>15% SM</x:v>
      </x:c>
      <x:c r="D12" s="156" t="n">
        <x:f>MIN(Viagens!B7*Viagens!C7*Viagens!D7*Viagens!E7,60/Viagens!G7*Parametros!$B$36)</x:f>
        <x:v>3.2174339999999995</x:v>
      </x:c>
      <x:c r="E12" s="156" t="n">
        <x:f>D12*B12*SUM(Viagens!H7:J7)</x:f>
        <x:v>40.5396684</x:v>
      </x:c>
      <x:c r="F12" s="156" t="n">
        <x:f>E12*Parametros!$B$6</x:f>
        <x:v>162.1586736</x:v>
      </x:c>
      <x:c r="G12" s="156" t="n">
        <x:f>E12*Parametros!$B$11</x:f>
        <x:v>694.965744</x:v>
      </x:c>
      <x:c r="H12" s="156" t="n">
        <x:f>G12*Parametros!$B$8</x:f>
        <x:v>8339.588928</x:v>
      </x:c>
      <x:c r="I12" s="150" t="n">
        <x:f>IF(Parametros!$B$22="Etanol",Parametros!$B$20/Viagens!L7,IF(Parametros!$B$22="Gasolina",Parametros!$B$21/Viagens!M7,(Parametros!$B$20*Parametros!$B$23+Parametros!$B$21*(1-Parametros!$B$23))*(Parametros!$B$23/Viagens!L7+(1-Parametros!$B$23)/Viagens!M7)))</x:f>
        <x:v>0.4858974358974359</x:v>
      </x:c>
      <x:c r="J12" s="150" t="n">
        <x:f>Manutencao!C$13</x:f>
        <x:v>0.295</x:v>
      </x:c>
      <x:c r="K12" s="131" t="n">
        <x:f>SUM(Parametros!$B$24:$B$25)+Parametros!$B$26*Parametros!$B$27/Parametros!$B$8+(Parametros!$B$28+Parametros!$B$29)/Parametros!$B$8+SUM(Parametros!$B$30:$B$32)</x:f>
        <x:v>1105.5266666666666</x:v>
      </x:c>
      <x:c r="L12" s="131" t="n">
        <x:f>G12*I12</x:f>
        <x:v>337.68207304615385</x:v>
      </x:c>
      <x:c r="M12" s="131" t="n">
        <x:f>G12*J12</x:f>
        <x:v>205.01489447999998</x:v>
      </x:c>
      <x:c r="N12" s="131" t="n">
        <x:f>D12*B12*Parametros!$B$11*Parametros!$B$33</x:f>
        <x:v>0</x:v>
      </x:c>
      <x:c r="O12" s="138" t="n">
        <x:f>SUM(K12:N12)</x:f>
        <x:v>1648.2236341928206</x:v>
      </x:c>
      <x:c r="P12" s="138" t="n">
        <x:f>O12*7/Parametros!$B$7</x:f>
        <x:v>384.58551464499146</x:v>
      </x:c>
      <x:c r="Q12" s="138" t="n">
        <x:f>O12*Parametros!$B$8</x:f>
        <x:v>19778.68361031385</x:v>
      </x:c>
      <x:c r="R12" s="152" t="n">
        <x:f>IF(G12&gt;0,O12/G12,0)</x:f>
        <x:v>2.3716616947278206</x:v>
      </x:c>
      <x:c r="S12" s="131" t="n">
        <x:f>D12*B12*Parametros!$B$11*Viagens!K7</x:f>
        <x:v>1406.478291428571</x:v>
      </x:c>
      <x:c r="T12" s="131" t="n">
        <x:f>S12*Parametros!$B$13</x:f>
        <x:v>140.64782914285712</x:v>
      </x:c>
      <x:c r="U12" s="131" t="n">
        <x:f>S12*Parametros!$B$34</x:f>
        <x:v>0</x:v>
      </x:c>
      <x:c r="V12" s="170" t="n">
        <x:f>SUM(O12,T12:U12)</x:f>
        <x:v>1788.8714633356776</x:v>
      </x:c>
      <x:c r="W12" s="170" t="n">
        <x:f>V12*7/Parametros!$B$7</x:f>
        <x:v>417.40334144499144</x:v>
      </x:c>
      <x:c r="X12" s="170" t="n">
        <x:f>V12*Parametros!$B$8</x:f>
        <x:v>21466.45756002813</x:v>
      </x:c>
      <x:c r="Y12" s="171" t="n">
        <x:f>IF(G12&gt;0,V12/G12,0)</x:f>
        <x:v>2.5740426471087727</x:v>
      </x:c>
      <x:c r="Z12" s="42" t="n">
        <x:f>G12*Parametros!$B$35</x:f>
        <x:v>0</x:v>
      </x:c>
    </x:row>
    <x:row r="13" ht="23" customHeight="1">
      <x:c r="A13" s="27" t="str">
        <x:v>Equilibrado</x:v>
      </x:c>
      <x:c r="B13" s="27" t="n">
        <x:v>3</x:v>
      </x:c>
      <x:c r="C13" s="27" t="str">
        <x:v>100% SM</x:v>
      </x:c>
      <x:c r="D13" s="156" t="n">
        <x:f>MIN(Viagens!B7*Viagens!C7*Viagens!D7*Viagens!F7,60/Viagens!G7*Parametros!$B$36)</x:f>
        <x:v>2.4326939999999997</x:v>
      </x:c>
      <x:c r="E13" s="156" t="n">
        <x:f>D13*B13*SUM(Viagens!H7:J7)</x:f>
        <x:v>30.651944399999998</x:v>
      </x:c>
      <x:c r="F13" s="156" t="n">
        <x:f>E13*Parametros!$B$6</x:f>
        <x:v>122.60777759999999</x:v>
      </x:c>
      <x:c r="G13" s="156" t="n">
        <x:f>E13*Parametros!$B$11</x:f>
        <x:v>525.461904</x:v>
      </x:c>
      <x:c r="H13" s="156" t="n">
        <x:f>G13*Parametros!$B$8</x:f>
        <x:v>6305.542848</x:v>
      </x:c>
      <x:c r="I13" s="150" t="n">
        <x:f>IF(Parametros!$B$22="Etanol",Parametros!$B$20/Viagens!L7,IF(Parametros!$B$22="Gasolina",Parametros!$B$21/Viagens!M7,(Parametros!$B$20*Parametros!$B$23+Parametros!$B$21*(1-Parametros!$B$23))*(Parametros!$B$23/Viagens!L7+(1-Parametros!$B$23)/Viagens!M7)))</x:f>
        <x:v>0.4858974358974359</x:v>
      </x:c>
      <x:c r="J13" s="150" t="n">
        <x:f>Manutencao!C$13</x:f>
        <x:v>0.295</x:v>
      </x:c>
      <x:c r="K13" s="131" t="n">
        <x:f>SUM(Parametros!$B$24:$B$25)+Parametros!$B$26*Parametros!$B$27/Parametros!$B$8+(Parametros!$B$28+Parametros!$B$29)/Parametros!$B$8+SUM(Parametros!$B$30:$B$32)</x:f>
        <x:v>1105.5266666666666</x:v>
      </x:c>
      <x:c r="L13" s="131" t="n">
        <x:f>G13*I13</x:f>
        <x:v>255.3205918153846</x:v>
      </x:c>
      <x:c r="M13" s="131" t="n">
        <x:f>G13*J13</x:f>
        <x:v>155.01126168</x:v>
      </x:c>
      <x:c r="N13" s="131" t="n">
        <x:f>D13*B13*Parametros!$B$11*Parametros!$B$33</x:f>
        <x:v>0</x:v>
      </x:c>
      <x:c r="O13" s="138" t="n">
        <x:f>SUM(K13:N13)</x:f>
        <x:v>1515.8585201620513</x:v>
      </x:c>
      <x:c r="P13" s="138" t="n">
        <x:f>O13*7/Parametros!$B$7</x:f>
        <x:v>353.70032137114526</x:v>
      </x:c>
      <x:c r="Q13" s="138" t="n">
        <x:f>O13*Parametros!$B$8</x:f>
        <x:v>18190.302241944613</x:v>
      </x:c>
      <x:c r="R13" s="152" t="n">
        <x:f>IF(G13&gt;0,O13/G13,0)</x:f>
        <x:v>2.8848114556408473</x:v>
      </x:c>
      <x:c r="S13" s="131" t="n">
        <x:f>D13*B13*Parametros!$B$11*Viagens!K7</x:f>
        <x:v>1063.4348057142854</x:v>
      </x:c>
      <x:c r="T13" s="131" t="n">
        <x:f>S13*Parametros!$B$13</x:f>
        <x:v>106.34348057142854</x:v>
      </x:c>
      <x:c r="U13" s="131" t="n">
        <x:f>S13*Parametros!$B$34</x:f>
        <x:v>0</x:v>
      </x:c>
      <x:c r="V13" s="170" t="n">
        <x:f>SUM(O13,T13:U13)</x:f>
        <x:v>1622.2020007334797</x:v>
      </x:c>
      <x:c r="W13" s="170" t="n">
        <x:f>V13*7/Parametros!$B$7</x:f>
        <x:v>378.5138001711453</x:v>
      </x:c>
      <x:c r="X13" s="170" t="n">
        <x:f>V13*Parametros!$B$8</x:f>
        <x:v>19466.424008801758</x:v>
      </x:c>
      <x:c r="Y13" s="171" t="n">
        <x:f>IF(G13&gt;0,V13/G13,0)</x:f>
        <x:v>3.0871924080218</x:v>
      </x:c>
      <x:c r="Z13" s="42" t="n">
        <x:f>G13*Parametros!$B$35</x:f>
        <x:v>0</x:v>
      </x:c>
    </x:row>
    <x:row r="14" ht="23" customHeight="1">
      <x:c r="A14" s="27" t="str">
        <x:v>Equilibrado</x:v>
      </x:c>
      <x:c r="B14" s="27" t="n">
        <x:v>6</x:v>
      </x:c>
      <x:c r="C14" s="27" t="str">
        <x:v>15% SM</x:v>
      </x:c>
      <x:c r="D14" s="156" t="n">
        <x:f>MIN(Viagens!B7*Viagens!C7*Viagens!D7*Viagens!E7,60/Viagens!G7*Parametros!$B$36)</x:f>
        <x:v>3.2174339999999995</x:v>
      </x:c>
      <x:c r="E14" s="156" t="n">
        <x:f>D14*B14*SUM(Viagens!H7:J7)</x:f>
        <x:v>81.0793368</x:v>
      </x:c>
      <x:c r="F14" s="156" t="n">
        <x:f>E14*Parametros!$B$6</x:f>
        <x:v>324.3173472</x:v>
      </x:c>
      <x:c r="G14" s="156" t="n">
        <x:f>E14*Parametros!$B$11</x:f>
        <x:v>1389.931488</x:v>
      </x:c>
      <x:c r="H14" s="156" t="n">
        <x:f>G14*Parametros!$B$8</x:f>
        <x:v>16679.177856</x:v>
      </x:c>
      <x:c r="I14" s="150" t="n">
        <x:f>IF(Parametros!$B$22="Etanol",Parametros!$B$20/Viagens!L7,IF(Parametros!$B$22="Gasolina",Parametros!$B$21/Viagens!M7,(Parametros!$B$20*Parametros!$B$23+Parametros!$B$21*(1-Parametros!$B$23))*(Parametros!$B$23/Viagens!L7+(1-Parametros!$B$23)/Viagens!M7)))</x:f>
        <x:v>0.4858974358974359</x:v>
      </x:c>
      <x:c r="J14" s="150" t="n">
        <x:f>Manutencao!C$13</x:f>
        <x:v>0.295</x:v>
      </x:c>
      <x:c r="K14" s="131" t="n">
        <x:f>SUM(Parametros!$B$24:$B$25)+Parametros!$B$26*Parametros!$B$27/Parametros!$B$8+(Parametros!$B$28+Parametros!$B$29)/Parametros!$B$8+SUM(Parametros!$B$30:$B$32)</x:f>
        <x:v>1105.5266666666666</x:v>
      </x:c>
      <x:c r="L14" s="131" t="n">
        <x:f>G14*I14</x:f>
        <x:v>675.3641460923077</x:v>
      </x:c>
      <x:c r="M14" s="131" t="n">
        <x:f>G14*J14</x:f>
        <x:v>410.02978895999996</x:v>
      </x:c>
      <x:c r="N14" s="131" t="n">
        <x:f>D14*B14*Parametros!$B$11*Parametros!$B$33</x:f>
        <x:v>0</x:v>
      </x:c>
      <x:c r="O14" s="138" t="n">
        <x:f>SUM(K14:N14)</x:f>
        <x:v>2190.9206017189745</x:v>
      </x:c>
      <x:c r="P14" s="138" t="n">
        <x:f>O14*7/Parametros!$B$7</x:f>
        <x:v>511.21480706776066</x:v>
      </x:c>
      <x:c r="Q14" s="138" t="n">
        <x:f>O14*Parametros!$B$8</x:f>
        <x:v>26291.047220627694</x:v>
      </x:c>
      <x:c r="R14" s="152" t="n">
        <x:f>IF(G14&gt;0,O14/G14,0)</x:f>
        <x:v>1.5762795653126283</x:v>
      </x:c>
      <x:c r="S14" s="131" t="n">
        <x:f>D14*B14*Parametros!$B$11*Viagens!K7</x:f>
        <x:v>2812.956582857142</x:v>
      </x:c>
      <x:c r="T14" s="131" t="n">
        <x:f>S14*Parametros!$B$13</x:f>
        <x:v>281.29565828571424</x:v>
      </x:c>
      <x:c r="U14" s="131" t="n">
        <x:f>S14*Parametros!$B$34</x:f>
        <x:v>0</x:v>
      </x:c>
      <x:c r="V14" s="170" t="n">
        <x:f>SUM(O14,T14:U14)</x:f>
        <x:v>2472.2162600046886</x:v>
      </x:c>
      <x:c r="W14" s="170" t="n">
        <x:f>V14*7/Parametros!$B$7</x:f>
        <x:v>576.8504606677608</x:v>
      </x:c>
      <x:c r="X14" s="170" t="n">
        <x:f>V14*Parametros!$B$8</x:f>
        <x:v>29666.595120056263</x:v>
      </x:c>
      <x:c r="Y14" s="171" t="n">
        <x:f>IF(G14&gt;0,V14/G14,0)</x:f>
        <x:v>1.7786605176935806</x:v>
      </x:c>
      <x:c r="Z14" s="42" t="n">
        <x:f>G14*Parametros!$B$35</x:f>
        <x:v>0</x:v>
      </x:c>
    </x:row>
    <x:row r="15" ht="23" customHeight="1">
      <x:c r="A15" s="27" t="str">
        <x:v>Equilibrado</x:v>
      </x:c>
      <x:c r="B15" s="27" t="n">
        <x:v>6</x:v>
      </x:c>
      <x:c r="C15" s="27" t="str">
        <x:v>100% SM</x:v>
      </x:c>
      <x:c r="D15" s="156" t="n">
        <x:f>MIN(Viagens!B7*Viagens!C7*Viagens!D7*Viagens!F7,60/Viagens!G7*Parametros!$B$36)</x:f>
        <x:v>2.4326939999999997</x:v>
      </x:c>
      <x:c r="E15" s="156" t="n">
        <x:f>D15*B15*SUM(Viagens!H7:J7)</x:f>
        <x:v>61.303888799999996</x:v>
      </x:c>
      <x:c r="F15" s="156" t="n">
        <x:f>E15*Parametros!$B$6</x:f>
        <x:v>245.21555519999998</x:v>
      </x:c>
      <x:c r="G15" s="156" t="n">
        <x:f>E15*Parametros!$B$11</x:f>
        <x:v>1050.923808</x:v>
      </x:c>
      <x:c r="H15" s="156" t="n">
        <x:f>G15*Parametros!$B$8</x:f>
        <x:v>12611.085696</x:v>
      </x:c>
      <x:c r="I15" s="150" t="n">
        <x:f>IF(Parametros!$B$22="Etanol",Parametros!$B$20/Viagens!L7,IF(Parametros!$B$22="Gasolina",Parametros!$B$21/Viagens!M7,(Parametros!$B$20*Parametros!$B$23+Parametros!$B$21*(1-Parametros!$B$23))*(Parametros!$B$23/Viagens!L7+(1-Parametros!$B$23)/Viagens!M7)))</x:f>
        <x:v>0.4858974358974359</x:v>
      </x:c>
      <x:c r="J15" s="150" t="n">
        <x:f>Manutencao!C$13</x:f>
        <x:v>0.295</x:v>
      </x:c>
      <x:c r="K15" s="131" t="n">
        <x:f>SUM(Parametros!$B$24:$B$25)+Parametros!$B$26*Parametros!$B$27/Parametros!$B$8+(Parametros!$B$28+Parametros!$B$29)/Parametros!$B$8+SUM(Parametros!$B$30:$B$32)</x:f>
        <x:v>1105.5266666666666</x:v>
      </x:c>
      <x:c r="L15" s="131" t="n">
        <x:f>G15*I15</x:f>
        <x:v>510.6411836307692</x:v>
      </x:c>
      <x:c r="M15" s="131" t="n">
        <x:f>G15*J15</x:f>
        <x:v>310.02252336</x:v>
      </x:c>
      <x:c r="N15" s="131" t="n">
        <x:f>D15*B15*Parametros!$B$11*Parametros!$B$33</x:f>
        <x:v>0</x:v>
      </x:c>
      <x:c r="O15" s="138" t="n">
        <x:f>SUM(K15:N15)</x:f>
        <x:v>1926.1903736574359</x:v>
      </x:c>
      <x:c r="P15" s="138" t="n">
        <x:f>O15*7/Parametros!$B$7</x:f>
        <x:v>449.4444205200684</x:v>
      </x:c>
      <x:c r="Q15" s="138" t="n">
        <x:f>O15*Parametros!$B$8</x:f>
        <x:v>23114.28448388923</x:v>
      </x:c>
      <x:c r="R15" s="152" t="n">
        <x:f>IF(G15&gt;0,O15/G15,0)</x:f>
        <x:v>1.8328544457691416</x:v>
      </x:c>
      <x:c r="S15" s="131" t="n">
        <x:f>D15*B15*Parametros!$B$11*Viagens!K7</x:f>
        <x:v>2126.869611428571</x:v>
      </x:c>
      <x:c r="T15" s="131" t="n">
        <x:f>S15*Parametros!$B$13</x:f>
        <x:v>212.6869611428571</x:v>
      </x:c>
      <x:c r="U15" s="131" t="n">
        <x:f>S15*Parametros!$B$34</x:f>
        <x:v>0</x:v>
      </x:c>
      <x:c r="V15" s="170" t="n">
        <x:f>SUM(O15,T15:U15)</x:f>
        <x:v>2138.877334800293</x:v>
      </x:c>
      <x:c r="W15" s="170" t="n">
        <x:f>V15*7/Parametros!$B$7</x:f>
        <x:v>499.07137812006835</x:v>
      </x:c>
      <x:c r="X15" s="170" t="n">
        <x:f>V15*Parametros!$B$8</x:f>
        <x:v>25666.528017603516</x:v>
      </x:c>
      <x:c r="Y15" s="171" t="n">
        <x:f>IF(G15&gt;0,V15/G15,0)</x:f>
        <x:v>2.035235398150094</x:v>
      </x:c>
      <x:c r="Z15" s="42" t="n">
        <x:f>G15*Parametros!$B$35</x:f>
        <x:v>0</x:v>
      </x:c>
    </x:row>
    <x:row r="16" ht="23" customHeight="1">
      <x:c r="A16" s="27" t="str">
        <x:v>Equilibrado</x:v>
      </x:c>
      <x:c r="B16" s="27" t="n">
        <x:v>8</x:v>
      </x:c>
      <x:c r="C16" s="27" t="str">
        <x:v>15% SM</x:v>
      </x:c>
      <x:c r="D16" s="156" t="n">
        <x:f>MIN(Viagens!B7*Viagens!C7*Viagens!D7*Viagens!E7,60/Viagens!G7*Parametros!$B$36)</x:f>
        <x:v>3.2174339999999995</x:v>
      </x:c>
      <x:c r="E16" s="156" t="n">
        <x:f>D16*B16*SUM(Viagens!H7:J7)</x:f>
        <x:v>108.10578239999998</x:v>
      </x:c>
      <x:c r="F16" s="156" t="n">
        <x:f>E16*Parametros!$B$6</x:f>
        <x:v>432.4231295999999</x:v>
      </x:c>
      <x:c r="G16" s="156" t="n">
        <x:f>E16*Parametros!$B$11</x:f>
        <x:v>1853.2419839999995</x:v>
      </x:c>
      <x:c r="H16" s="156" t="n">
        <x:f>G16*Parametros!$B$8</x:f>
        <x:v>22238.903807999995</x:v>
      </x:c>
      <x:c r="I16" s="150" t="n">
        <x:f>IF(Parametros!$B$22="Etanol",Parametros!$B$20/Viagens!L7,IF(Parametros!$B$22="Gasolina",Parametros!$B$21/Viagens!M7,(Parametros!$B$20*Parametros!$B$23+Parametros!$B$21*(1-Parametros!$B$23))*(Parametros!$B$23/Viagens!L7+(1-Parametros!$B$23)/Viagens!M7)))</x:f>
        <x:v>0.4858974358974359</x:v>
      </x:c>
      <x:c r="J16" s="150" t="n">
        <x:f>Manutencao!C$13</x:f>
        <x:v>0.295</x:v>
      </x:c>
      <x:c r="K16" s="131" t="n">
        <x:f>SUM(Parametros!$B$24:$B$25)+Parametros!$B$26*Parametros!$B$27/Parametros!$B$8+(Parametros!$B$28+Parametros!$B$29)/Parametros!$B$8+SUM(Parametros!$B$30:$B$32)</x:f>
        <x:v>1105.5266666666666</x:v>
      </x:c>
      <x:c r="L16" s="131" t="n">
        <x:f>G16*I16</x:f>
        <x:v>900.4855281230767</x:v>
      </x:c>
      <x:c r="M16" s="131" t="n">
        <x:f>G16*J16</x:f>
        <x:v>546.7063852799998</x:v>
      </x:c>
      <x:c r="N16" s="131" t="n">
        <x:f>D16*B16*Parametros!$B$11*Parametros!$B$33</x:f>
        <x:v>0</x:v>
      </x:c>
      <x:c r="O16" s="138" t="n">
        <x:f>SUM(K16:N16)</x:f>
        <x:v>2552.718580069743</x:v>
      </x:c>
      <x:c r="P16" s="138" t="n">
        <x:f>O16*7/Parametros!$B$7</x:f>
        <x:v>595.6343353496067</x:v>
      </x:c>
      <x:c r="Q16" s="138" t="n">
        <x:f>O16*Parametros!$B$8</x:f>
        <x:v>30632.622960836918</x:v>
      </x:c>
      <x:c r="R16" s="152" t="n">
        <x:f>IF(G16&gt;0,O16/G16,0)</x:f>
        <x:v>1.3774340329588302</x:v>
      </x:c>
      <x:c r="S16" s="131" t="n">
        <x:f>D16*B16*Parametros!$B$11*Viagens!K7</x:f>
        <x:v>3750.6087771428565</x:v>
      </x:c>
      <x:c r="T16" s="131" t="n">
        <x:f>S16*Parametros!$B$13</x:f>
        <x:v>375.06087771428565</x:v>
      </x:c>
      <x:c r="U16" s="131" t="n">
        <x:f>S16*Parametros!$B$34</x:f>
        <x:v>0</x:v>
      </x:c>
      <x:c r="V16" s="170" t="n">
        <x:f>SUM(O16,T16:U16)</x:f>
        <x:v>2927.7794577840286</x:v>
      </x:c>
      <x:c r="W16" s="170" t="n">
        <x:f>V16*7/Parametros!$B$7</x:f>
        <x:v>683.1485401496067</x:v>
      </x:c>
      <x:c r="X16" s="170" t="n">
        <x:f>V16*Parametros!$B$8</x:f>
        <x:v>35133.353493408344</x:v>
      </x:c>
      <x:c r="Y16" s="171" t="n">
        <x:f>IF(G16&gt;0,V16/G16,0)</x:f>
        <x:v>1.5798149853397825</x:v>
      </x:c>
      <x:c r="Z16" s="42" t="n">
        <x:f>G16*Parametros!$B$35</x:f>
        <x:v>0</x:v>
      </x:c>
    </x:row>
    <x:row r="17" ht="23" customHeight="1">
      <x:c r="A17" s="27" t="str">
        <x:v>Equilibrado</x:v>
      </x:c>
      <x:c r="B17" s="27" t="n">
        <x:v>8</x:v>
      </x:c>
      <x:c r="C17" s="27" t="str">
        <x:v>100% SM</x:v>
      </x:c>
      <x:c r="D17" s="156" t="n">
        <x:f>MIN(Viagens!B7*Viagens!C7*Viagens!D7*Viagens!F7,60/Viagens!G7*Parametros!$B$36)</x:f>
        <x:v>2.4326939999999997</x:v>
      </x:c>
      <x:c r="E17" s="156" t="n">
        <x:f>D17*B17*SUM(Viagens!H7:J7)</x:f>
        <x:v>81.73851839999999</x:v>
      </x:c>
      <x:c r="F17" s="156" t="n">
        <x:f>E17*Parametros!$B$6</x:f>
        <x:v>326.95407359999996</x:v>
      </x:c>
      <x:c r="G17" s="156" t="n">
        <x:f>E17*Parametros!$B$11</x:f>
        <x:v>1401.2317439999997</x:v>
      </x:c>
      <x:c r="H17" s="156" t="n">
        <x:f>G17*Parametros!$B$8</x:f>
        <x:v>16814.780927999996</x:v>
      </x:c>
      <x:c r="I17" s="150" t="n">
        <x:f>IF(Parametros!$B$22="Etanol",Parametros!$B$20/Viagens!L7,IF(Parametros!$B$22="Gasolina",Parametros!$B$21/Viagens!M7,(Parametros!$B$20*Parametros!$B$23+Parametros!$B$21*(1-Parametros!$B$23))*(Parametros!$B$23/Viagens!L7+(1-Parametros!$B$23)/Viagens!M7)))</x:f>
        <x:v>0.4858974358974359</x:v>
      </x:c>
      <x:c r="J17" s="150" t="n">
        <x:f>Manutencao!C$13</x:f>
        <x:v>0.295</x:v>
      </x:c>
      <x:c r="K17" s="131" t="n">
        <x:f>SUM(Parametros!$B$24:$B$25)+Parametros!$B$26*Parametros!$B$27/Parametros!$B$8+(Parametros!$B$28+Parametros!$B$29)/Parametros!$B$8+SUM(Parametros!$B$30:$B$32)</x:f>
        <x:v>1105.5266666666666</x:v>
      </x:c>
      <x:c r="L17" s="131" t="n">
        <x:f>G17*I17</x:f>
        <x:v>680.8549115076921</x:v>
      </x:c>
      <x:c r="M17" s="131" t="n">
        <x:f>G17*J17</x:f>
        <x:v>413.3633644799999</x:v>
      </x:c>
      <x:c r="N17" s="131" t="n">
        <x:f>D17*B17*Parametros!$B$11*Parametros!$B$33</x:f>
        <x:v>0</x:v>
      </x:c>
      <x:c r="O17" s="138" t="n">
        <x:f>SUM(K17:N17)</x:f>
        <x:v>2199.7449426543585</x:v>
      </x:c>
      <x:c r="P17" s="138" t="n">
        <x:f>O17*7/Parametros!$B$7</x:f>
        <x:v>513.2738199526837</x:v>
      </x:c>
      <x:c r="Q17" s="138" t="n">
        <x:f>O17*Parametros!$B$8</x:f>
        <x:v>26396.9393118523</x:v>
      </x:c>
      <x:c r="R17" s="152" t="n">
        <x:f>IF(G17&gt;0,O17/G17,0)</x:f>
        <x:v>1.5698651933012153</x:v>
      </x:c>
      <x:c r="S17" s="131" t="n">
        <x:f>D17*B17*Parametros!$B$11*Viagens!K7</x:f>
        <x:v>2835.8261485714283</x:v>
      </x:c>
      <x:c r="T17" s="131" t="n">
        <x:f>S17*Parametros!$B$13</x:f>
        <x:v>283.58261485714286</x:v>
      </x:c>
      <x:c r="U17" s="131" t="n">
        <x:f>S17*Parametros!$B$34</x:f>
        <x:v>0</x:v>
      </x:c>
      <x:c r="V17" s="170" t="n">
        <x:f>SUM(O17,T17:U17)</x:f>
        <x:v>2483.3275575115013</x:v>
      </x:c>
      <x:c r="W17" s="170" t="n">
        <x:f>V17*7/Parametros!$B$7</x:f>
        <x:v>579.4430967526837</x:v>
      </x:c>
      <x:c r="X17" s="170" t="n">
        <x:f>V17*Parametros!$B$8</x:f>
        <x:v>29799.930690138015</x:v>
      </x:c>
      <x:c r="Y17" s="171" t="n">
        <x:f>IF(G17&gt;0,V17/G17,0)</x:f>
        <x:v>1.7722461456821677</x:v>
      </x:c>
      <x:c r="Z17" s="42" t="n">
        <x:f>G17*Parametros!$B$35</x:f>
        <x:v>0</x:v>
      </x:c>
    </x:row>
    <x:row r="18" ht="23" customHeight="1">
      <x:c r="A18" s="27" t="str">
        <x:v>Pessimista</x:v>
      </x:c>
      <x:c r="B18" s="27" t="n">
        <x:v>3</x:v>
      </x:c>
      <x:c r="C18" s="27" t="str">
        <x:v>15% SM</x:v>
      </x:c>
      <x:c r="D18" s="156" t="n">
        <x:f>MIN(Viagens!B8*Viagens!C8*Viagens!D8*Viagens!E8,60/Viagens!G8*Parametros!$B$36)</x:f>
        <x:v>1.89216</x:v>
      </x:c>
      <x:c r="E18" s="156" t="n">
        <x:f>D18*B18*SUM(Viagens!H8:J8)</x:f>
        <x:v>30.085343999999992</x:v>
      </x:c>
      <x:c r="F18" s="156" t="n">
        <x:f>E18*Parametros!$B$6</x:f>
        <x:v>120.34137599999997</x:v>
      </x:c>
      <x:c r="G18" s="156" t="n">
        <x:f>E18*Parametros!$B$11</x:f>
        <x:v>515.7487542857141</x:v>
      </x:c>
      <x:c r="H18" s="156" t="n">
        <x:f>G18*Parametros!$B$8</x:f>
        <x:v>6188.985051428569</x:v>
      </x:c>
      <x:c r="I18" s="150" t="n">
        <x:f>IF(Parametros!$B$22="Etanol",Parametros!$B$20/Viagens!L8,IF(Parametros!$B$22="Gasolina",Parametros!$B$21/Viagens!M8,(Parametros!$B$20*Parametros!$B$23+Parametros!$B$21*(1-Parametros!$B$23))*(Parametros!$B$23/Viagens!L8+(1-Parametros!$B$23)/Viagens!M8)))</x:f>
        <x:v>0.583076923076923</x:v>
      </x:c>
      <x:c r="J18" s="150" t="n">
        <x:f>Manutencao!D$13</x:f>
        <x:v>0.4400000000000001</x:v>
      </x:c>
      <x:c r="K18" s="131" t="n">
        <x:f>SUM(Parametros!$B$24:$B$25)+Parametros!$B$26*Parametros!$B$27/Parametros!$B$8+(Parametros!$B$28+Parametros!$B$29)/Parametros!$B$8+SUM(Parametros!$B$30:$B$32)</x:f>
        <x:v>1105.5266666666666</x:v>
      </x:c>
      <x:c r="L18" s="131" t="n">
        <x:f>G18*I18</x:f>
        <x:v>300.7211967296702</x:v>
      </x:c>
      <x:c r="M18" s="131" t="n">
        <x:f>G18*J18</x:f>
        <x:v>226.92945188571426</x:v>
      </x:c>
      <x:c r="N18" s="131" t="n">
        <x:f>D18*B18*Parametros!$B$11*Parametros!$B$33</x:f>
        <x:v>0</x:v>
      </x:c>
      <x:c r="O18" s="138" t="n">
        <x:f>SUM(K18:N18)</x:f>
        <x:v>1633.1773152820513</x:v>
      </x:c>
      <x:c r="P18" s="138" t="n">
        <x:f>O18*7/Parametros!$B$7</x:f>
        <x:v>381.07470689914527</x:v>
      </x:c>
      <x:c r="Q18" s="138" t="n">
        <x:f>O18*Parametros!$B$8</x:f>
        <x:v>19598.127783384614</x:v>
      </x:c>
      <x:c r="R18" s="152" t="n">
        <x:f>IF(G18&gt;0,O18/G18,0)</x:f>
        <x:v>3.1666141734921283</x:v>
      </x:c>
      <x:c r="S18" s="131" t="n">
        <x:f>D18*B18*Parametros!$B$11*Viagens!K8</x:f>
        <x:v>681.1776</x:v>
      </x:c>
      <x:c r="T18" s="131" t="n">
        <x:f>S18*Parametros!$B$13</x:f>
        <x:v>68.11776</x:v>
      </x:c>
      <x:c r="U18" s="131" t="n">
        <x:f>S18*Parametros!$B$34</x:f>
        <x:v>0</x:v>
      </x:c>
      <x:c r="V18" s="170" t="n">
        <x:f>SUM(O18,T18:U18)</x:f>
        <x:v>1701.2950752820514</x:v>
      </x:c>
      <x:c r="W18" s="170" t="n">
        <x:f>V18*7/Parametros!$B$7</x:f>
        <x:v>396.96885089914537</x:v>
      </x:c>
      <x:c r="X18" s="170" t="n">
        <x:f>V18*Parametros!$B$8</x:f>
        <x:v>20415.540903384615</x:v>
      </x:c>
      <x:c r="Y18" s="171" t="n">
        <x:f>IF(G18&gt;0,V18/G18,0)</x:f>
        <x:v>3.2986896451902417</x:v>
      </x:c>
      <x:c r="Z18" s="42" t="n">
        <x:f>G18*Parametros!$B$35</x:f>
        <x:v>0</x:v>
      </x:c>
    </x:row>
    <x:row r="19" ht="23" customHeight="1">
      <x:c r="A19" s="27" t="str">
        <x:v>Pessimista</x:v>
      </x:c>
      <x:c r="B19" s="27" t="n">
        <x:v>3</x:v>
      </x:c>
      <x:c r="C19" s="27" t="str">
        <x:v>100% SM</x:v>
      </x:c>
      <x:c r="D19" s="156" t="n">
        <x:f>MIN(Viagens!B8*Viagens!C8*Viagens!D8*Viagens!F8,60/Viagens!G8*Parametros!$B$36)</x:f>
        <x:v>1.296</x:v>
      </x:c>
      <x:c r="E19" s="156" t="n">
        <x:f>D19*B19*SUM(Viagens!H8:J8)</x:f>
        <x:v>20.606399999999994</x:v>
      </x:c>
      <x:c r="F19" s="156" t="n">
        <x:f>E19*Parametros!$B$6</x:f>
        <x:v>82.42559999999997</x:v>
      </x:c>
      <x:c r="G19" s="156" t="n">
        <x:f>E19*Parametros!$B$11</x:f>
        <x:v>353.2525714285713</x:v>
      </x:c>
      <x:c r="H19" s="156" t="n">
        <x:f>G19*Parametros!$B$8</x:f>
        <x:v>4239.030857142856</x:v>
      </x:c>
      <x:c r="I19" s="150" t="n">
        <x:f>IF(Parametros!$B$22="Etanol",Parametros!$B$20/Viagens!L8,IF(Parametros!$B$22="Gasolina",Parametros!$B$21/Viagens!M8,(Parametros!$B$20*Parametros!$B$23+Parametros!$B$21*(1-Parametros!$B$23))*(Parametros!$B$23/Viagens!L8+(1-Parametros!$B$23)/Viagens!M8)))</x:f>
        <x:v>0.583076923076923</x:v>
      </x:c>
      <x:c r="J19" s="150" t="n">
        <x:f>Manutencao!D$13</x:f>
        <x:v>0.4400000000000001</x:v>
      </x:c>
      <x:c r="K19" s="131" t="n">
        <x:f>SUM(Parametros!$B$24:$B$25)+Parametros!$B$26*Parametros!$B$27/Parametros!$B$8+(Parametros!$B$28+Parametros!$B$29)/Parametros!$B$8+SUM(Parametros!$B$30:$B$32)</x:f>
        <x:v>1105.5266666666666</x:v>
      </x:c>
      <x:c r="L19" s="131" t="n">
        <x:f>G19*I19</x:f>
        <x:v>205.97342241758233</x:v>
      </x:c>
      <x:c r="M19" s="131" t="n">
        <x:f>G19*J19</x:f>
        <x:v>155.4311314285714</x:v>
      </x:c>
      <x:c r="N19" s="131" t="n">
        <x:f>D19*B19*Parametros!$B$11*Parametros!$B$33</x:f>
        <x:v>0</x:v>
      </x:c>
      <x:c r="O19" s="138" t="n">
        <x:f>SUM(K19:N19)</x:f>
        <x:v>1466.9312205128203</x:v>
      </x:c>
      <x:c r="P19" s="138" t="n">
        <x:f>O19*7/Parametros!$B$7</x:f>
        <x:v>342.2839514529914</x:v>
      </x:c>
      <x:c r="Q19" s="138" t="n">
        <x:f>O19*Parametros!$B$8</x:f>
        <x:v>17603.174646153842</x:v>
      </x:c>
      <x:c r="R19" s="152" t="n">
        <x:f>IF(G19&gt;0,O19/G19,0)</x:f>
        <x:v>4.152641308683122</x:v>
      </x:c>
      <x:c r="S19" s="131" t="n">
        <x:f>D19*B19*Parametros!$B$11*Viagens!K8</x:f>
        <x:v>466.55999999999995</x:v>
      </x:c>
      <x:c r="T19" s="131" t="n">
        <x:f>S19*Parametros!$B$13</x:f>
        <x:v>46.656</x:v>
      </x:c>
      <x:c r="U19" s="131" t="n">
        <x:f>S19*Parametros!$B$34</x:f>
        <x:v>0</x:v>
      </x:c>
      <x:c r="V19" s="170" t="n">
        <x:f>SUM(O19,T19:U19)</x:f>
        <x:v>1513.5872205128203</x:v>
      </x:c>
      <x:c r="W19" s="170" t="n">
        <x:f>V19*7/Parametros!$B$7</x:f>
        <x:v>353.17035145299144</x:v>
      </x:c>
      <x:c r="X19" s="170" t="n">
        <x:f>V19*Parametros!$B$8</x:f>
        <x:v>18163.046646153845</x:v>
      </x:c>
      <x:c r="Y19" s="171" t="n">
        <x:f>IF(G19&gt;0,V19/G19,0)</x:f>
        <x:v>4.284716780381236</x:v>
      </x:c>
      <x:c r="Z19" s="42" t="n">
        <x:f>G19*Parametros!$B$35</x:f>
        <x:v>0</x:v>
      </x:c>
    </x:row>
    <x:row r="20" ht="23" customHeight="1">
      <x:c r="A20" s="27" t="str">
        <x:v>Pessimista</x:v>
      </x:c>
      <x:c r="B20" s="27" t="n">
        <x:v>6</x:v>
      </x:c>
      <x:c r="C20" s="27" t="str">
        <x:v>15% SM</x:v>
      </x:c>
      <x:c r="D20" s="156" t="n">
        <x:f>MIN(Viagens!B8*Viagens!C8*Viagens!D8*Viagens!E8,60/Viagens!G8*Parametros!$B$36)</x:f>
        <x:v>1.89216</x:v>
      </x:c>
      <x:c r="E20" s="156" t="n">
        <x:f>D20*B20*SUM(Viagens!H8:J8)</x:f>
        <x:v>60.170687999999984</x:v>
      </x:c>
      <x:c r="F20" s="156" t="n">
        <x:f>E20*Parametros!$B$6</x:f>
        <x:v>240.68275199999994</x:v>
      </x:c>
      <x:c r="G20" s="156" t="n">
        <x:f>E20*Parametros!$B$11</x:f>
        <x:v>1031.4975085714282</x:v>
      </x:c>
      <x:c r="H20" s="156" t="n">
        <x:f>G20*Parametros!$B$8</x:f>
        <x:v>12377.970102857138</x:v>
      </x:c>
      <x:c r="I20" s="150" t="n">
        <x:f>IF(Parametros!$B$22="Etanol",Parametros!$B$20/Viagens!L8,IF(Parametros!$B$22="Gasolina",Parametros!$B$21/Viagens!M8,(Parametros!$B$20*Parametros!$B$23+Parametros!$B$21*(1-Parametros!$B$23))*(Parametros!$B$23/Viagens!L8+(1-Parametros!$B$23)/Viagens!M8)))</x:f>
        <x:v>0.583076923076923</x:v>
      </x:c>
      <x:c r="J20" s="150" t="n">
        <x:f>Manutencao!D$13</x:f>
        <x:v>0.4400000000000001</x:v>
      </x:c>
      <x:c r="K20" s="131" t="n">
        <x:f>SUM(Parametros!$B$24:$B$25)+Parametros!$B$26*Parametros!$B$27/Parametros!$B$8+(Parametros!$B$28+Parametros!$B$29)/Parametros!$B$8+SUM(Parametros!$B$30:$B$32)</x:f>
        <x:v>1105.5266666666666</x:v>
      </x:c>
      <x:c r="L20" s="131" t="n">
        <x:f>G20*I20</x:f>
        <x:v>601.4423934593405</x:v>
      </x:c>
      <x:c r="M20" s="131" t="n">
        <x:f>G20*J20</x:f>
        <x:v>453.8589037714285</x:v>
      </x:c>
      <x:c r="N20" s="131" t="n">
        <x:f>D20*B20*Parametros!$B$11*Parametros!$B$33</x:f>
        <x:v>0</x:v>
      </x:c>
      <x:c r="O20" s="138" t="n">
        <x:f>SUM(K20:N20)</x:f>
        <x:v>2160.827963897436</x:v>
      </x:c>
      <x:c r="P20" s="138" t="n">
        <x:f>O20*7/Parametros!$B$7</x:f>
        <x:v>504.1931915760684</x:v>
      </x:c>
      <x:c r="Q20" s="138" t="n">
        <x:f>O20*Parametros!$B$8</x:f>
        <x:v>25929.93556676923</x:v>
      </x:c>
      <x:c r="R20" s="152" t="n">
        <x:f>IF(G20&gt;0,O20/G20,0)</x:f>
        <x:v>2.094845548284526</x:v>
      </x:c>
      <x:c r="S20" s="131" t="n">
        <x:f>D20*B20*Parametros!$B$11*Viagens!K8</x:f>
        <x:v>1362.3552</x:v>
      </x:c>
      <x:c r="T20" s="131" t="n">
        <x:f>S20*Parametros!$B$13</x:f>
        <x:v>136.23552</x:v>
      </x:c>
      <x:c r="U20" s="131" t="n">
        <x:f>S20*Parametros!$B$34</x:f>
        <x:v>0</x:v>
      </x:c>
      <x:c r="V20" s="170" t="n">
        <x:f>SUM(O20,T20:U20)</x:f>
        <x:v>2297.063483897436</x:v>
      </x:c>
      <x:c r="W20" s="170" t="n">
        <x:f>V20*7/Parametros!$B$7</x:f>
        <x:v>535.9814795760684</x:v>
      </x:c>
      <x:c r="X20" s="170" t="n">
        <x:f>V20*Parametros!$B$8</x:f>
        <x:v>27564.76180676923</x:v>
      </x:c>
      <x:c r="Y20" s="171" t="n">
        <x:f>IF(G20&gt;0,V20/G20,0)</x:f>
        <x:v>2.2269210199826395</x:v>
      </x:c>
      <x:c r="Z20" s="42" t="n">
        <x:f>G20*Parametros!$B$35</x:f>
        <x:v>0</x:v>
      </x:c>
    </x:row>
    <x:row r="21" ht="23" customHeight="1">
      <x:c r="A21" s="27" t="str">
        <x:v>Pessimista</x:v>
      </x:c>
      <x:c r="B21" s="27" t="n">
        <x:v>6</x:v>
      </x:c>
      <x:c r="C21" s="27" t="str">
        <x:v>100% SM</x:v>
      </x:c>
      <x:c r="D21" s="156" t="n">
        <x:f>MIN(Viagens!B8*Viagens!C8*Viagens!D8*Viagens!F8,60/Viagens!G8*Parametros!$B$36)</x:f>
        <x:v>1.296</x:v>
      </x:c>
      <x:c r="E21" s="156" t="n">
        <x:f>D21*B21*SUM(Viagens!H8:J8)</x:f>
        <x:v>41.21279999999999</x:v>
      </x:c>
      <x:c r="F21" s="156" t="n">
        <x:f>E21*Parametros!$B$6</x:f>
        <x:v>164.85119999999995</x:v>
      </x:c>
      <x:c r="G21" s="156" t="n">
        <x:f>E21*Parametros!$B$11</x:f>
        <x:v>706.5051428571426</x:v>
      </x:c>
      <x:c r="H21" s="156" t="n">
        <x:f>G21*Parametros!$B$8</x:f>
        <x:v>8478.061714285712</x:v>
      </x:c>
      <x:c r="I21" s="150" t="n">
        <x:f>IF(Parametros!$B$22="Etanol",Parametros!$B$20/Viagens!L8,IF(Parametros!$B$22="Gasolina",Parametros!$B$21/Viagens!M8,(Parametros!$B$20*Parametros!$B$23+Parametros!$B$21*(1-Parametros!$B$23))*(Parametros!$B$23/Viagens!L8+(1-Parametros!$B$23)/Viagens!M8)))</x:f>
        <x:v>0.583076923076923</x:v>
      </x:c>
      <x:c r="J21" s="150" t="n">
        <x:f>Manutencao!D$13</x:f>
        <x:v>0.4400000000000001</x:v>
      </x:c>
      <x:c r="K21" s="131" t="n">
        <x:f>SUM(Parametros!$B$24:$B$25)+Parametros!$B$26*Parametros!$B$27/Parametros!$B$8+(Parametros!$B$28+Parametros!$B$29)/Parametros!$B$8+SUM(Parametros!$B$30:$B$32)</x:f>
        <x:v>1105.5266666666666</x:v>
      </x:c>
      <x:c r="L21" s="131" t="n">
        <x:f>G21*I21</x:f>
        <x:v>411.94684483516465</x:v>
      </x:c>
      <x:c r="M21" s="131" t="n">
        <x:f>G21*J21</x:f>
        <x:v>310.8622628571428</x:v>
      </x:c>
      <x:c r="N21" s="131" t="n">
        <x:f>D21*B21*Parametros!$B$11*Parametros!$B$33</x:f>
        <x:v>0</x:v>
      </x:c>
      <x:c r="O21" s="138" t="n">
        <x:f>SUM(K21:N21)</x:f>
        <x:v>1828.335774358974</x:v>
      </x:c>
      <x:c r="P21" s="138" t="n">
        <x:f>O21*7/Parametros!$B$7</x:f>
        <x:v>426.61168068376065</x:v>
      </x:c>
      <x:c r="Q21" s="138" t="n">
        <x:f>O21*Parametros!$B$8</x:f>
        <x:v>21940.02929230769</x:v>
      </x:c>
      <x:c r="R21" s="152" t="n">
        <x:f>IF(G21&gt;0,O21/G21,0)</x:f>
        <x:v>2.587859115880023</x:v>
      </x:c>
      <x:c r="S21" s="131" t="n">
        <x:f>D21*B21*Parametros!$B$11*Viagens!K8</x:f>
        <x:v>933.1199999999999</x:v>
      </x:c>
      <x:c r="T21" s="131" t="n">
        <x:f>S21*Parametros!$B$13</x:f>
        <x:v>93.312</x:v>
      </x:c>
      <x:c r="U21" s="131" t="n">
        <x:f>S21*Parametros!$B$34</x:f>
        <x:v>0</x:v>
      </x:c>
      <x:c r="V21" s="170" t="n">
        <x:f>SUM(O21,T21:U21)</x:f>
        <x:v>1921.647774358974</x:v>
      </x:c>
      <x:c r="W21" s="170" t="n">
        <x:f>V21*7/Parametros!$B$7</x:f>
        <x:v>448.38448068376056</x:v>
      </x:c>
      <x:c r="X21" s="170" t="n">
        <x:f>V21*Parametros!$B$8</x:f>
        <x:v>23059.773292307687</x:v>
      </x:c>
      <x:c r="Y21" s="171" t="n">
        <x:f>IF(G21&gt;0,V21/G21,0)</x:f>
        <x:v>2.7199345875781358</x:v>
      </x:c>
      <x:c r="Z21" s="42" t="n">
        <x:f>G21*Parametros!$B$35</x:f>
        <x:v>0</x:v>
      </x:c>
    </x:row>
    <x:row r="22" ht="23" customHeight="1">
      <x:c r="A22" s="27" t="str">
        <x:v>Pessimista</x:v>
      </x:c>
      <x:c r="B22" s="27" t="n">
        <x:v>8</x:v>
      </x:c>
      <x:c r="C22" s="27" t="str">
        <x:v>15% SM</x:v>
      </x:c>
      <x:c r="D22" s="156" t="n">
        <x:f>MIN(Viagens!B8*Viagens!C8*Viagens!D8*Viagens!E8,60/Viagens!G8*Parametros!$B$36)</x:f>
        <x:v>1.89216</x:v>
      </x:c>
      <x:c r="E22" s="156" t="n">
        <x:f>D22*B22*SUM(Viagens!H8:J8)</x:f>
        <x:v>80.227584</x:v>
      </x:c>
      <x:c r="F22" s="156" t="n">
        <x:f>E22*Parametros!$B$6</x:f>
        <x:v>320.910336</x:v>
      </x:c>
      <x:c r="G22" s="156" t="n">
        <x:f>E22*Parametros!$B$11</x:f>
        <x:v>1375.3300114285712</x:v>
      </x:c>
      <x:c r="H22" s="156" t="n">
        <x:f>G22*Parametros!$B$8</x:f>
        <x:v>16503.960137142854</x:v>
      </x:c>
      <x:c r="I22" s="150" t="n">
        <x:f>IF(Parametros!$B$22="Etanol",Parametros!$B$20/Viagens!L8,IF(Parametros!$B$22="Gasolina",Parametros!$B$21/Viagens!M8,(Parametros!$B$20*Parametros!$B$23+Parametros!$B$21*(1-Parametros!$B$23))*(Parametros!$B$23/Viagens!L8+(1-Parametros!$B$23)/Viagens!M8)))</x:f>
        <x:v>0.583076923076923</x:v>
      </x:c>
      <x:c r="J22" s="150" t="n">
        <x:f>Manutencao!D$13</x:f>
        <x:v>0.4400000000000001</x:v>
      </x:c>
      <x:c r="K22" s="131" t="n">
        <x:f>SUM(Parametros!$B$24:$B$25)+Parametros!$B$26*Parametros!$B$27/Parametros!$B$8+(Parametros!$B$28+Parametros!$B$29)/Parametros!$B$8+SUM(Parametros!$B$30:$B$32)</x:f>
        <x:v>1105.5266666666666</x:v>
      </x:c>
      <x:c r="L22" s="131" t="n">
        <x:f>G22*I22</x:f>
        <x:v>801.9231912791207</x:v>
      </x:c>
      <x:c r="M22" s="131" t="n">
        <x:f>G22*J22</x:f>
        <x:v>605.1452050285715</x:v>
      </x:c>
      <x:c r="N22" s="131" t="n">
        <x:f>D22*B22*Parametros!$B$11*Parametros!$B$33</x:f>
        <x:v>0</x:v>
      </x:c>
      <x:c r="O22" s="138" t="n">
        <x:f>SUM(K22:N22)</x:f>
        <x:v>2512.595062974359</x:v>
      </x:c>
      <x:c r="P22" s="138" t="n">
        <x:f>O22*7/Parametros!$B$7</x:f>
        <x:v>586.2721813606837</x:v>
      </x:c>
      <x:c r="Q22" s="138" t="n">
        <x:f>O22*Parametros!$B$8</x:f>
        <x:v>30151.140755692308</x:v>
      </x:c>
      <x:c r="R22" s="152" t="n">
        <x:f>IF(G22&gt;0,O22/G22,0)</x:f>
        <x:v>1.8269033919826247</x:v>
      </x:c>
      <x:c r="S22" s="131" t="n">
        <x:f>D22*B22*Parametros!$B$11*Viagens!K8</x:f>
        <x:v>1816.4735999999998</x:v>
      </x:c>
      <x:c r="T22" s="131" t="n">
        <x:f>S22*Parametros!$B$13</x:f>
        <x:v>181.64736</x:v>
      </x:c>
      <x:c r="U22" s="131" t="n">
        <x:f>S22*Parametros!$B$34</x:f>
        <x:v>0</x:v>
      </x:c>
      <x:c r="V22" s="170" t="n">
        <x:f>SUM(O22,T22:U22)</x:f>
        <x:v>2694.2424229743588</x:v>
      </x:c>
      <x:c r="W22" s="170" t="n">
        <x:f>V22*7/Parametros!$B$7</x:f>
        <x:v>628.6565653606837</x:v>
      </x:c>
      <x:c r="X22" s="170" t="n">
        <x:f>V22*Parametros!$B$8</x:f>
        <x:v>32330.909075692303</x:v>
      </x:c>
      <x:c r="Y22" s="171" t="n">
        <x:f>IF(G22&gt;0,V22/G22,0)</x:f>
        <x:v>1.958978863680738</x:v>
      </x:c>
      <x:c r="Z22" s="42" t="n">
        <x:f>G22*Parametros!$B$35</x:f>
        <x:v>0</x:v>
      </x:c>
    </x:row>
    <x:row r="23" ht="23" customHeight="1">
      <x:c r="A23" s="27" t="str">
        <x:v>Pessimista</x:v>
      </x:c>
      <x:c r="B23" s="27" t="n">
        <x:v>8</x:v>
      </x:c>
      <x:c r="C23" s="27" t="str">
        <x:v>100% SM</x:v>
      </x:c>
      <x:c r="D23" s="156" t="n">
        <x:f>MIN(Viagens!B8*Viagens!C8*Viagens!D8*Viagens!F8,60/Viagens!G8*Parametros!$B$36)</x:f>
        <x:v>1.296</x:v>
      </x:c>
      <x:c r="E23" s="156" t="n">
        <x:f>D23*B23*SUM(Viagens!H8:J8)</x:f>
        <x:v>54.95039999999999</x:v>
      </x:c>
      <x:c r="F23" s="156" t="n">
        <x:f>E23*Parametros!$B$6</x:f>
        <x:v>219.80159999999995</x:v>
      </x:c>
      <x:c r="G23" s="156" t="n">
        <x:f>E23*Parametros!$B$11</x:f>
        <x:v>942.0068571428569</x:v>
      </x:c>
      <x:c r="H23" s="156" t="n">
        <x:f>G23*Parametros!$B$8</x:f>
        <x:v>11304.082285714283</x:v>
      </x:c>
      <x:c r="I23" s="150" t="n">
        <x:f>IF(Parametros!$B$22="Etanol",Parametros!$B$20/Viagens!L8,IF(Parametros!$B$22="Gasolina",Parametros!$B$21/Viagens!M8,(Parametros!$B$20*Parametros!$B$23+Parametros!$B$21*(1-Parametros!$B$23))*(Parametros!$B$23/Viagens!L8+(1-Parametros!$B$23)/Viagens!M8)))</x:f>
        <x:v>0.583076923076923</x:v>
      </x:c>
      <x:c r="J23" s="150" t="n">
        <x:f>Manutencao!D$13</x:f>
        <x:v>0.4400000000000001</x:v>
      </x:c>
      <x:c r="K23" s="131" t="n">
        <x:f>SUM(Parametros!$B$24:$B$25)+Parametros!$B$26*Parametros!$B$27/Parametros!$B$8+(Parametros!$B$28+Parametros!$B$29)/Parametros!$B$8+SUM(Parametros!$B$30:$B$32)</x:f>
        <x:v>1105.5266666666666</x:v>
      </x:c>
      <x:c r="L23" s="131" t="n">
        <x:f>G23*I23</x:f>
        <x:v>549.2624597802196</x:v>
      </x:c>
      <x:c r="M23" s="131" t="n">
        <x:f>G23*J23</x:f>
        <x:v>414.48301714285714</x:v>
      </x:c>
      <x:c r="N23" s="131" t="n">
        <x:f>D23*B23*Parametros!$B$11*Parametros!$B$33</x:f>
        <x:v>0</x:v>
      </x:c>
      <x:c r="O23" s="138" t="n">
        <x:f>SUM(K23:N23)</x:f>
        <x:v>2069.2721435897433</x:v>
      </x:c>
      <x:c r="P23" s="138" t="n">
        <x:f>O23*7/Parametros!$B$7</x:f>
        <x:v>482.8301668376068</x:v>
      </x:c>
      <x:c r="Q23" s="138" t="n">
        <x:f>O23*Parametros!$B$8</x:f>
        <x:v>24831.26572307692</x:v>
      </x:c>
      <x:c r="R23" s="152" t="n">
        <x:f>IF(G23&gt;0,O23/G23,0)</x:f>
        <x:v>2.1966635676792476</x:v>
      </x:c>
      <x:c r="S23" s="131" t="n">
        <x:f>D23*B23*Parametros!$B$11*Viagens!K8</x:f>
        <x:v>1244.16</x:v>
      </x:c>
      <x:c r="T23" s="131" t="n">
        <x:f>S23*Parametros!$B$13</x:f>
        <x:v>124.41600000000001</x:v>
      </x:c>
      <x:c r="U23" s="131" t="n">
        <x:f>S23*Parametros!$B$34</x:f>
        <x:v>0</x:v>
      </x:c>
      <x:c r="V23" s="170" t="n">
        <x:f>SUM(O23,T23:U23)</x:f>
        <x:v>2193.6881435897435</x:v>
      </x:c>
      <x:c r="W23" s="170" t="n">
        <x:f>V23*7/Parametros!$B$7</x:f>
        <x:v>511.8605668376068</x:v>
      </x:c>
      <x:c r="X23" s="170" t="n">
        <x:f>V23*Parametros!$B$8</x:f>
        <x:v>26324.257723076924</x:v>
      </x:c>
      <x:c r="Y23" s="171" t="n">
        <x:f>IF(G23&gt;0,V23/G23,0)</x:f>
        <x:v>2.328739039377361</x:v>
      </x:c>
      <x:c r="Z23" s="42" t="n">
        <x:f>G23*Parametros!$B$35</x:f>
        <x:v>0</x:v>
      </x:c>
    </x:row>
    <x:row r="24" ht="23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50" hidden="0" customWidth="1"/>
  </x:cols>
  <x:sheetData>
    <x:row r="1" ht="33" customHeight="1">
      <x:c r="A1" s="4" t="str">
        <x:v>RESULTADO FINANCEIRO | 18 AVALIAÇÕES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26" t="str">
        <x:v>Cada linha = perfil + jornada + objetivo. RECEBIDO = valor creditado ao motorista. O valor médio necessário por corrida é uma META ESTATÍSTICA, nunca filtro mínimo de aceite.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</x:row>
    <x:row r="3" ht="23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23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 ht="54" customHeight="1">
      <x:c r="A5" s="17" t="str">
        <x:v>Perfil operacional</x:v>
      </x:c>
      <x:c r="B5" s="17" t="str">
        <x:v>Jornada (h/dia)</x:v>
      </x:c>
      <x:c r="C5" s="17" t="str">
        <x:v>Objetivo mensal</x:v>
      </x:c>
      <x:c r="D5" s="17" t="str">
        <x:v>Lucro-alvo (R$/mês)</x:v>
      </x:c>
      <x:c r="E5" s="17" t="str">
        <x:v>Corridas/h</x:v>
      </x:c>
      <x:c r="F5" s="17" t="str">
        <x:v>Corridas/mês</x:v>
      </x:c>
      <x:c r="G5" s="17" t="str">
        <x:v>Km totais/mês</x:v>
      </x:c>
      <x:c r="H5" s="17" t="str">
        <x:v>Receita recebida (R$/mês)</x:v>
      </x:c>
      <x:c r="I5" s="17" t="str">
        <x:v>Custo operacional (R$/mês)</x:v>
      </x:c>
      <x:c r="J5" s="17" t="str">
        <x:v>Dízimo (R$/mês)</x:v>
      </x:c>
      <x:c r="K5" s="17" t="str">
        <x:v>Tributos (R$/mês)</x:v>
      </x:c>
      <x:c r="L5" s="17" t="str">
        <x:v>Lucro líquido final (R$/mês)</x:v>
      </x:c>
      <x:c r="M5" s="17" t="str">
        <x:v>Folga ou déficit (R$/mês)</x:v>
      </x:c>
      <x:c r="N5" s="17" t="str">
        <x:v>Resultado da meta</x:v>
      </x:c>
      <x:c r="O5" s="17" t="str">
        <x:v>Receita necessária (R$/mês)</x:v>
      </x:c>
      <x:c r="P5" s="17" t="str">
        <x:v>Repasse médio necessário (R$/corrida)</x:v>
      </x:c>
      <x:c r="Q5" s="17" t="str">
        <x:v>Receita necessária por hora (R$/h)</x:v>
      </x:c>
      <x:c r="R5" s="17" t="str">
        <x:v>Custo total previsto (R$/mês)</x:v>
      </x:c>
      <x:c r="S5" s="17" t="str">
        <x:v>Custo operacional total (R$/km)</x:v>
      </x:c>
      <x:c r="T5" s="17" t="str">
        <x:v>Margem final sobre receita (%)</x:v>
      </x:c>
      <x:c r="U5" s="17" t="str">
        <x:v>Condição da projeção</x:v>
      </x:c>
    </x:row>
    <x:row r="6" ht="23" customHeight="1">
      <x:c r="A6" s="27" t="str">
        <x:f>Custos!A6</x:f>
        <x:v>Otimista</x:v>
      </x:c>
      <x:c r="B6" s="27" t="n">
        <x:f>Custos!B6</x:f>
        <x:v>3</x:v>
      </x:c>
      <x:c r="C6" s="27" t="str">
        <x:f>Custos!C6</x:f>
        <x:v>15% SM</x:v>
      </x:c>
      <x:c r="D6" s="131" t="n">
        <x:f>Parametros!$B$12*Parametros!$B$14</x:f>
        <x:v>243.14999999999998</x:v>
      </x:c>
      <x:c r="E6" s="156" t="n">
        <x:f>Custos!D6</x:f>
        <x:v>3.942857142857143</x:v>
      </x:c>
      <x:c r="F6" s="156" t="n">
        <x:f>E6*B6*Parametros!$B$11</x:f>
        <x:v>202.77551020408163</x:v>
      </x:c>
      <x:c r="G6" s="156" t="n">
        <x:f>Custos!G6</x:f>
        <x:v>729.9918367346938</x:v>
      </x:c>
      <x:c r="H6" s="131" t="n">
        <x:f>Custos!S6</x:f>
        <x:v>2027.7551020408164</x:v>
      </x:c>
      <x:c r="I6" s="131" t="n">
        <x:f>Custos!O6</x:f>
        <x:v>1562.269286332715</x:v>
      </x:c>
      <x:c r="J6" s="131" t="n">
        <x:f>Custos!T6</x:f>
        <x:v>202.77551020408166</x:v>
      </x:c>
      <x:c r="K6" s="131" t="n">
        <x:f>Custos!U6</x:f>
        <x:v>0</x:v>
      </x:c>
      <x:c r="L6" s="140" t="n">
        <x:f>H6-SUM(I6:K6)</x:f>
        <x:v>262.71030550401974</x:v>
      </x:c>
      <x:c r="M6" s="140" t="n">
        <x:f>L6-D6</x:f>
        <x:v>19.560305504019766</x:v>
      </x:c>
      <x:c r="N6" s="71" t="str">
        <x:f>IF(Parametros!$B$11&lt;=0,"SEM JORNADA",IF(M6&gt;=0,"ATINGE META","NÃO ATINGE META"))</x:f>
        <x:v>ATINGE META</x:v>
      </x:c>
      <x:c r="O6" s="131" t="n">
        <x:f>IF((1-Parametros!$B$13-Parametros!$B$34)&gt;0,(I6+D6)/(1-Parametros!$B$13-Parametros!$B$34),0)</x:f>
        <x:v>2006.021429258572</x:v>
      </x:c>
      <x:c r="P6" s="131" t="n">
        <x:f>IF(F6&gt;0,O6/F6,0)</x:f>
        <x:v>9.892819045256646</x:v>
      </x:c>
      <x:c r="Q6" s="131" t="n">
        <x:f>IF(B6*Parametros!$B$11&gt;0,O6/(B6*Parametros!$B$11),0)</x:f>
        <x:v>39.00597223558334</x:v>
      </x:c>
      <x:c r="R6" s="131" t="n">
        <x:f>Custos!V6</x:f>
        <x:v>1765.0447965367966</x:v>
      </x:c>
      <x:c r="S6" s="42" t="n">
        <x:f>Custos!R6</x:f>
        <x:v>2.140118844781687</x:v>
      </x:c>
      <x:c r="T6" s="162" t="n">
        <x:f>IF(H6&gt;0,L6/H6,0)</x:f>
        <x:v>0.12955721587859267</x:v>
      </x:c>
      <x:c r="U6" s="27" t="str">
        <x:f>"HIPÓTESES: validar repasse, demanda, seguro e impostos"</x:f>
        <x:v>HIPÓTESES: validar repasse, demanda, seguro e impostos</x:v>
      </x:c>
    </x:row>
    <x:row r="7" ht="23" customHeight="1">
      <x:c r="A7" s="27" t="str">
        <x:f>Custos!A7</x:f>
        <x:v>Otimista</x:v>
      </x:c>
      <x:c r="B7" s="27" t="n">
        <x:f>Custos!B7</x:f>
        <x:v>3</x:v>
      </x:c>
      <x:c r="C7" s="27" t="str">
        <x:f>Custos!C7</x:f>
        <x:v>100% SM</x:v>
      </x:c>
      <x:c r="D7" s="131" t="n">
        <x:f>Parametros!$B$12*Parametros!$B$15</x:f>
        <x:v>1621</x:v>
      </x:c>
      <x:c r="E7" s="156" t="n">
        <x:f>Custos!D7</x:f>
        <x:v>3.1579200000000003</x:v>
      </x:c>
      <x:c r="F7" s="156" t="n">
        <x:f>E7*B7*Parametros!$B$11</x:f>
        <x:v>162.40731428571428</x:v>
      </x:c>
      <x:c r="G7" s="156" t="n">
        <x:f>Custos!G7</x:f>
        <x:v>584.6663314285714</x:v>
      </x:c>
      <x:c r="H7" s="131" t="n">
        <x:f>Custos!S7</x:f>
        <x:v>1624.0731428571428</x:v>
      </x:c>
      <x:c r="I7" s="131" t="n">
        <x:f>Custos!O7</x:f>
        <x:v>1471.3417599445888</x:v>
      </x:c>
      <x:c r="J7" s="131" t="n">
        <x:f>Custos!T7</x:f>
        <x:v>162.40731428571428</x:v>
      </x:c>
      <x:c r="K7" s="131" t="n">
        <x:f>Custos!U7</x:f>
        <x:v>0</x:v>
      </x:c>
      <x:c r="L7" s="140" t="n">
        <x:f>H7-SUM(I7:K7)</x:f>
        <x:v>-9.67593137316021</x:v>
      </x:c>
      <x:c r="M7" s="140" t="n">
        <x:f>L7-D7</x:f>
        <x:v>-1630.6759313731602</x:v>
      </x:c>
      <x:c r="N7" s="71" t="str">
        <x:f>IF(Parametros!$B$11&lt;=0,"SEM JORNADA",IF(M7&gt;=0,"ATINGE META","NÃO ATINGE META"))</x:f>
        <x:v>NÃO ATINGE META</x:v>
      </x:c>
      <x:c r="O7" s="131" t="n">
        <x:f>IF((1-Parametros!$B$13-Parametros!$B$34)&gt;0,(I7+D7)/(1-Parametros!$B$13-Parametros!$B$34),0)</x:f>
        <x:v>3435.9352888273206</x:v>
      </x:c>
      <x:c r="P7" s="131" t="n">
        <x:f>IF(F7&gt;0,O7/F7,0)</x:f>
        <x:v>21.156284148524666</x:v>
      </x:c>
      <x:c r="Q7" s="131" t="n">
        <x:f>IF(B7*Parametros!$B$11&gt;0,O7/(B7*Parametros!$B$11),0)</x:f>
        <x:v>66.80985283830901</x:v>
      </x:c>
      <x:c r="R7" s="131" t="n">
        <x:f>Custos!V7</x:f>
        <x:v>1633.749074230303</x:v>
      </x:c>
      <x:c r="S7" s="42" t="n">
        <x:f>Custos!R7</x:f>
        <x:v>2.5165494930236845</x:v>
      </x:c>
      <x:c r="T7" s="162" t="n">
        <x:f>IF(H7&gt;0,L7/H7,0)</x:f>
        <x:v>-0.005957817488526333</x:v>
      </x:c>
      <x:c r="U7" s="27" t="str">
        <x:f>"HIPÓTESES: validar repasse, demanda, seguro e impostos"</x:f>
        <x:v>HIPÓTESES: validar repasse, demanda, seguro e impostos</x:v>
      </x:c>
    </x:row>
    <x:row r="8" ht="23" customHeight="1">
      <x:c r="A8" s="27" t="str">
        <x:f>Custos!A8</x:f>
        <x:v>Otimista</x:v>
      </x:c>
      <x:c r="B8" s="27" t="n">
        <x:f>Custos!B8</x:f>
        <x:v>6</x:v>
      </x:c>
      <x:c r="C8" s="27" t="str">
        <x:f>Custos!C8</x:f>
        <x:v>15% SM</x:v>
      </x:c>
      <x:c r="D8" s="131" t="n">
        <x:f>Parametros!$B$12*Parametros!$B$14</x:f>
        <x:v>243.14999999999998</x:v>
      </x:c>
      <x:c r="E8" s="156" t="n">
        <x:f>Custos!D8</x:f>
        <x:v>3.942857142857143</x:v>
      </x:c>
      <x:c r="F8" s="156" t="n">
        <x:f>E8*B8*Parametros!$B$11</x:f>
        <x:v>405.55102040816325</x:v>
      </x:c>
      <x:c r="G8" s="156" t="n">
        <x:f>Custos!G8</x:f>
        <x:v>1459.9836734693877</x:v>
      </x:c>
      <x:c r="H8" s="131" t="n">
        <x:f>Custos!S8</x:f>
        <x:v>4055.5102040816328</x:v>
      </x:c>
      <x:c r="I8" s="131" t="n">
        <x:f>Custos!O8</x:f>
        <x:v>2019.011905998763</x:v>
      </x:c>
      <x:c r="J8" s="131" t="n">
        <x:f>Custos!T8</x:f>
        <x:v>405.5510204081633</x:v>
      </x:c>
      <x:c r="K8" s="131" t="n">
        <x:f>Custos!U8</x:f>
        <x:v>0</x:v>
      </x:c>
      <x:c r="L8" s="140" t="n">
        <x:f>H8-SUM(I8:K8)</x:f>
        <x:v>1630.9472776747066</x:v>
      </x:c>
      <x:c r="M8" s="140" t="n">
        <x:f>L8-D8</x:f>
        <x:v>1387.7972776747065</x:v>
      </x:c>
      <x:c r="N8" s="71" t="str">
        <x:f>IF(Parametros!$B$11&lt;=0,"SEM JORNADA",IF(M8&gt;=0,"ATINGE META","NÃO ATINGE META"))</x:f>
        <x:v>ATINGE META</x:v>
      </x:c>
      <x:c r="O8" s="131" t="n">
        <x:f>IF((1-Parametros!$B$13-Parametros!$B$34)&gt;0,(I8+D8)/(1-Parametros!$B$13-Parametros!$B$34),0)</x:f>
        <x:v>2513.5132288875143</x:v>
      </x:c>
      <x:c r="P8" s="131" t="n">
        <x:f>IF(F8&gt;0,O8/F8,0)</x:f>
        <x:v>6.197773158991959</x:v>
      </x:c>
      <x:c r="Q8" s="131" t="n">
        <x:f>IF(B8*Parametros!$B$11&gt;0,O8/(B8*Parametros!$B$11),0)</x:f>
        <x:v>24.43693416973972</x:v>
      </x:c>
      <x:c r="R8" s="131" t="n">
        <x:f>Custos!V8</x:f>
        <x:v>2424.562926406926</x:v>
      </x:c>
      <x:c r="S8" s="42" t="n">
        <x:f>Custos!R8</x:f>
        <x:v>1.3829003314817525</x:v>
      </x:c>
      <x:c r="T8" s="162" t="n">
        <x:f>IF(H8&gt;0,L8/H8,0)</x:f>
        <x:v>0.40215588066656915</x:v>
      </x:c>
      <x:c r="U8" s="27" t="str">
        <x:f>"HIPÓTESES: validar repasse, demanda, seguro e impostos"</x:f>
        <x:v>HIPÓTESES: validar repasse, demanda, seguro e impostos</x:v>
      </x:c>
    </x:row>
    <x:row r="9" ht="23" customHeight="1">
      <x:c r="A9" s="27" t="str">
        <x:f>Custos!A9</x:f>
        <x:v>Otimista</x:v>
      </x:c>
      <x:c r="B9" s="27" t="n">
        <x:f>Custos!B9</x:f>
        <x:v>6</x:v>
      </x:c>
      <x:c r="C9" s="27" t="str">
        <x:f>Custos!C9</x:f>
        <x:v>100% SM</x:v>
      </x:c>
      <x:c r="D9" s="131" t="n">
        <x:f>Parametros!$B$12*Parametros!$B$15</x:f>
        <x:v>1621</x:v>
      </x:c>
      <x:c r="E9" s="156" t="n">
        <x:f>Custos!D9</x:f>
        <x:v>3.1579200000000003</x:v>
      </x:c>
      <x:c r="F9" s="156" t="n">
        <x:f>E9*B9*Parametros!$B$11</x:f>
        <x:v>324.81462857142856</x:v>
      </x:c>
      <x:c r="G9" s="156" t="n">
        <x:f>Custos!G9</x:f>
        <x:v>1169.3326628571429</x:v>
      </x:c>
      <x:c r="H9" s="131" t="n">
        <x:f>Custos!S9</x:f>
        <x:v>3248.1462857142856</x:v>
      </x:c>
      <x:c r="I9" s="131" t="n">
        <x:f>Custos!O9</x:f>
        <x:v>1837.1568532225108</x:v>
      </x:c>
      <x:c r="J9" s="131" t="n">
        <x:f>Custos!T9</x:f>
        <x:v>324.81462857142856</x:v>
      </x:c>
      <x:c r="K9" s="131" t="n">
        <x:f>Custos!U9</x:f>
        <x:v>0</x:v>
      </x:c>
      <x:c r="L9" s="140" t="n">
        <x:f>H9-SUM(I9:K9)</x:f>
        <x:v>1086.1748039203462</x:v>
      </x:c>
      <x:c r="M9" s="140" t="n">
        <x:f>L9-D9</x:f>
        <x:v>-534.8251960796538</x:v>
      </x:c>
      <x:c r="N9" s="71" t="str">
        <x:f>IF(Parametros!$B$11&lt;=0,"SEM JORNADA",IF(M9&gt;=0,"ATINGE META","NÃO ATINGE META"))</x:f>
        <x:v>NÃO ATINGE META</x:v>
      </x:c>
      <x:c r="O9" s="131" t="n">
        <x:f>IF((1-Parametros!$B$13-Parametros!$B$34)&gt;0,(I9+D9)/(1-Parametros!$B$13-Parametros!$B$34),0)</x:f>
        <x:v>3842.3965035805677</x:v>
      </x:c>
      <x:c r="P9" s="131" t="n">
        <x:f>IF(F9&gt;0,O9/F9,0)</x:f>
        <x:v>11.829505710625972</x:v>
      </x:c>
      <x:c r="Q9" s="131" t="n">
        <x:f>IF(B9*Parametros!$B$11&gt;0,O9/(B9*Parametros!$B$11),0)</x:f>
        <x:v>37.35663267369996</x:v>
      </x:c>
      <x:c r="R9" s="131" t="n">
        <x:f>Custos!V9</x:f>
        <x:v>2161.9714817939393</x:v>
      </x:c>
      <x:c r="S9" s="42" t="n">
        <x:f>Custos!R9</x:f>
        <x:v>1.5711156556027512</x:v>
      </x:c>
      <x:c r="T9" s="162" t="n">
        <x:f>IF(H9&gt;0,L9/H9,0)</x:f>
        <x:v>0.33439836398300954</x:v>
      </x:c>
      <x:c r="U9" s="27" t="str">
        <x:f>"HIPÓTESES: validar repasse, demanda, seguro e impostos"</x:f>
        <x:v>HIPÓTESES: validar repasse, demanda, seguro e impostos</x:v>
      </x:c>
    </x:row>
    <x:row r="10" ht="23" customHeight="1">
      <x:c r="A10" s="27" t="str">
        <x:f>Custos!A10</x:f>
        <x:v>Otimista</x:v>
      </x:c>
      <x:c r="B10" s="27" t="n">
        <x:f>Custos!B10</x:f>
        <x:v>8</x:v>
      </x:c>
      <x:c r="C10" s="27" t="str">
        <x:f>Custos!C10</x:f>
        <x:v>15% SM</x:v>
      </x:c>
      <x:c r="D10" s="131" t="n">
        <x:f>Parametros!$B$12*Parametros!$B$14</x:f>
        <x:v>243.14999999999998</x:v>
      </x:c>
      <x:c r="E10" s="156" t="n">
        <x:f>Custos!D10</x:f>
        <x:v>3.942857142857143</x:v>
      </x:c>
      <x:c r="F10" s="156" t="n">
        <x:f>E10*B10*Parametros!$B$11</x:f>
        <x:v>540.7346938775511</x:v>
      </x:c>
      <x:c r="G10" s="156" t="n">
        <x:f>Custos!G10</x:f>
        <x:v>1946.6448979591835</x:v>
      </x:c>
      <x:c r="H10" s="131" t="n">
        <x:f>Custos!S10</x:f>
        <x:v>5407.34693877551</x:v>
      </x:c>
      <x:c r="I10" s="131" t="n">
        <x:f>Custos!O10</x:f>
        <x:v>2323.506985776128</x:v>
      </x:c>
      <x:c r="J10" s="131" t="n">
        <x:f>Custos!T10</x:f>
        <x:v>540.7346938775511</x:v>
      </x:c>
      <x:c r="K10" s="131" t="n">
        <x:f>Custos!U10</x:f>
        <x:v>0</x:v>
      </x:c>
      <x:c r="L10" s="140" t="n">
        <x:f>H10-SUM(I10:K10)</x:f>
        <x:v>2543.1052591218313</x:v>
      </x:c>
      <x:c r="M10" s="140" t="n">
        <x:f>L10-D10</x:f>
        <x:v>2299.955259121831</x:v>
      </x:c>
      <x:c r="N10" s="71" t="str">
        <x:f>IF(Parametros!$B$11&lt;=0,"SEM JORNADA",IF(M10&gt;=0,"ATINGE META","NÃO ATINGE META"))</x:f>
        <x:v>ATINGE META</x:v>
      </x:c>
      <x:c r="O10" s="131" t="n">
        <x:f>IF((1-Parametros!$B$13-Parametros!$B$34)&gt;0,(I10+D10)/(1-Parametros!$B$13-Parametros!$B$34),0)</x:f>
        <x:v>2851.841095306809</x:v>
      </x:c>
      <x:c r="P10" s="131" t="n">
        <x:f>IF(F10&gt;0,O10/F10,0)</x:f>
        <x:v>5.274011687425786</x:v>
      </x:c>
      <x:c r="Q10" s="131" t="n">
        <x:f>IF(B10*Parametros!$B$11&gt;0,O10/(B10*Parametros!$B$11),0)</x:f>
        <x:v>20.79467465327882</x:v>
      </x:c>
      <x:c r="R10" s="131" t="n">
        <x:f>Custos!V10</x:f>
        <x:v>2864.241679653679</x:v>
      </x:c>
      <x:c r="S10" s="42" t="n">
        <x:f>Custos!R10</x:f>
        <x:v>1.1935957031567688</x:v>
      </x:c>
      <x:c r="T10" s="162" t="n">
        <x:f>IF(H10&gt;0,L10/H10,0)</x:f>
        <x:v>0.4703055468635633</x:v>
      </x:c>
      <x:c r="U10" s="27" t="str">
        <x:f>"HIPÓTESES: validar repasse, demanda, seguro e impostos"</x:f>
        <x:v>HIPÓTESES: validar repasse, demanda, seguro e impostos</x:v>
      </x:c>
    </x:row>
    <x:row r="11" ht="23" customHeight="1">
      <x:c r="A11" s="27" t="str">
        <x:f>Custos!A11</x:f>
        <x:v>Otimista</x:v>
      </x:c>
      <x:c r="B11" s="27" t="n">
        <x:f>Custos!B11</x:f>
        <x:v>8</x:v>
      </x:c>
      <x:c r="C11" s="27" t="str">
        <x:f>Custos!C11</x:f>
        <x:v>100% SM</x:v>
      </x:c>
      <x:c r="D11" s="131" t="n">
        <x:f>Parametros!$B$12*Parametros!$B$15</x:f>
        <x:v>1621</x:v>
      </x:c>
      <x:c r="E11" s="156" t="n">
        <x:f>Custos!D11</x:f>
        <x:v>3.1579200000000003</x:v>
      </x:c>
      <x:c r="F11" s="156" t="n">
        <x:f>E11*B11*Parametros!$B$11</x:f>
        <x:v>433.08617142857145</x:v>
      </x:c>
      <x:c r="G11" s="156" t="n">
        <x:f>Custos!G11</x:f>
        <x:v>1559.110217142857</x:v>
      </x:c>
      <x:c r="H11" s="131" t="n">
        <x:f>Custos!S11</x:f>
        <x:v>4330.861714285715</x:v>
      </x:c>
      <x:c r="I11" s="131" t="n">
        <x:f>Custos!O11</x:f>
        <x:v>2081.0335820744585</x:v>
      </x:c>
      <x:c r="J11" s="131" t="n">
        <x:f>Custos!T11</x:f>
        <x:v>433.0861714285715</x:v>
      </x:c>
      <x:c r="K11" s="131" t="n">
        <x:f>Custos!U11</x:f>
        <x:v>0</x:v>
      </x:c>
      <x:c r="L11" s="140" t="n">
        <x:f>H11-SUM(I11:K11)</x:f>
        <x:v>1816.7419607826846</x:v>
      </x:c>
      <x:c r="M11" s="140" t="n">
        <x:f>L11-D11</x:f>
        <x:v>195.7419607826846</x:v>
      </x:c>
      <x:c r="N11" s="71" t="str">
        <x:f>IF(Parametros!$B$11&lt;=0,"SEM JORNADA",IF(M11&gt;=0,"ATINGE META","NÃO ATINGE META"))</x:f>
        <x:v>ATINGE META</x:v>
      </x:c>
      <x:c r="O11" s="131" t="n">
        <x:f>IF((1-Parametros!$B$13-Parametros!$B$34)&gt;0,(I11+D11)/(1-Parametros!$B$13-Parametros!$B$34),0)</x:f>
        <x:v>4113.3706467493985</x:v>
      </x:c>
      <x:c r="P11" s="131" t="n">
        <x:f>IF(F11&gt;0,O11/F11,0)</x:f>
        <x:v>9.497811101151294</x:v>
      </x:c>
      <x:c r="Q11" s="131" t="n">
        <x:f>IF(B11*Parametros!$B$11&gt;0,O11/(B11*Parametros!$B$11),0)</x:f>
        <x:v>29.993327632547697</x:v>
      </x:c>
      <x:c r="R11" s="131" t="n">
        <x:f>Custos!V11</x:f>
        <x:v>2514.11975350303</x:v>
      </x:c>
      <x:c r="S11" s="42" t="n">
        <x:f>Custos!R11</x:f>
        <x:v>1.3347571962475178</x:v>
      </x:c>
      <x:c r="T11" s="162" t="n">
        <x:f>IF(H11&gt;0,L11/H11,0)</x:f>
        <x:v>0.4194874093508936</x:v>
      </x:c>
      <x:c r="U11" s="27" t="str">
        <x:f>"HIPÓTESES: validar repasse, demanda, seguro e impostos"</x:f>
        <x:v>HIPÓTESES: validar repasse, demanda, seguro e impostos</x:v>
      </x:c>
    </x:row>
    <x:row r="12" ht="23" customHeight="1">
      <x:c r="A12" s="27" t="str">
        <x:f>Custos!A12</x:f>
        <x:v>Equilibrado</x:v>
      </x:c>
      <x:c r="B12" s="27" t="n">
        <x:f>Custos!B12</x:f>
        <x:v>3</x:v>
      </x:c>
      <x:c r="C12" s="27" t="str">
        <x:f>Custos!C12</x:f>
        <x:v>15% SM</x:v>
      </x:c>
      <x:c r="D12" s="131" t="n">
        <x:f>Parametros!$B$12*Parametros!$B$14</x:f>
        <x:v>243.14999999999998</x:v>
      </x:c>
      <x:c r="E12" s="156" t="n">
        <x:f>Custos!D12</x:f>
        <x:v>3.2174339999999995</x:v>
      </x:c>
      <x:c r="F12" s="156" t="n">
        <x:f>E12*B12*Parametros!$B$11</x:f>
        <x:v>165.46803428571425</x:v>
      </x:c>
      <x:c r="G12" s="156" t="n">
        <x:f>Custos!G12</x:f>
        <x:v>694.965744</x:v>
      </x:c>
      <x:c r="H12" s="131" t="n">
        <x:f>Custos!S12</x:f>
        <x:v>1406.478291428571</x:v>
      </x:c>
      <x:c r="I12" s="131" t="n">
        <x:f>Custos!O12</x:f>
        <x:v>1648.2236341928206</x:v>
      </x:c>
      <x:c r="J12" s="131" t="n">
        <x:f>Custos!T12</x:f>
        <x:v>140.64782914285712</x:v>
      </x:c>
      <x:c r="K12" s="131" t="n">
        <x:f>Custos!U12</x:f>
        <x:v>0</x:v>
      </x:c>
      <x:c r="L12" s="140" t="n">
        <x:f>H12-SUM(I12:K12)</x:f>
        <x:v>-382.39317190710653</x:v>
      </x:c>
      <x:c r="M12" s="140" t="n">
        <x:f>L12-D12</x:f>
        <x:v>-625.5431719071065</x:v>
      </x:c>
      <x:c r="N12" s="71" t="str">
        <x:f>IF(Parametros!$B$11&lt;=0,"SEM JORNADA",IF(M12&gt;=0,"ATINGE META","NÃO ATINGE META"))</x:f>
        <x:v>NÃO ATINGE META</x:v>
      </x:c>
      <x:c r="O12" s="131" t="n">
        <x:f>IF((1-Parametros!$B$13-Parametros!$B$34)&gt;0,(I12+D12)/(1-Parametros!$B$13-Parametros!$B$34),0)</x:f>
        <x:v>2101.526260214245</x:v>
      </x:c>
      <x:c r="P12" s="131" t="n">
        <x:f>IF(F12&gt;0,O12/F12,0)</x:f>
        <x:v>12.700496922478285</x:v>
      </x:c>
      <x:c r="Q12" s="131" t="n">
        <x:f>IF(B12*Parametros!$B$11&gt;0,O12/(B12*Parametros!$B$11),0)</x:f>
        <x:v>40.86301061527699</x:v>
      </x:c>
      <x:c r="R12" s="131" t="n">
        <x:f>Custos!V12</x:f>
        <x:v>1788.8714633356776</x:v>
      </x:c>
      <x:c r="S12" s="42" t="n">
        <x:f>Custos!R12</x:f>
        <x:v>2.3716616947278206</x:v>
      </x:c>
      <x:c r="T12" s="162" t="n">
        <x:f>IF(H12&gt;0,L12/H12,0)</x:f>
        <x:v>-0.27187989621845265</x:v>
      </x:c>
      <x:c r="U12" s="27" t="str">
        <x:f>"HIPÓTESES: validar repasse, demanda, seguro e impostos"</x:f>
        <x:v>HIPÓTESES: validar repasse, demanda, seguro e impostos</x:v>
      </x:c>
    </x:row>
    <x:row r="13" ht="23" customHeight="1">
      <x:c r="A13" s="27" t="str">
        <x:f>Custos!A13</x:f>
        <x:v>Equilibrado</x:v>
      </x:c>
      <x:c r="B13" s="27" t="n">
        <x:f>Custos!B13</x:f>
        <x:v>3</x:v>
      </x:c>
      <x:c r="C13" s="27" t="str">
        <x:f>Custos!C13</x:f>
        <x:v>100% SM</x:v>
      </x:c>
      <x:c r="D13" s="131" t="n">
        <x:f>Parametros!$B$12*Parametros!$B$15</x:f>
        <x:v>1621</x:v>
      </x:c>
      <x:c r="E13" s="156" t="n">
        <x:f>Custos!D13</x:f>
        <x:v>2.4326939999999997</x:v>
      </x:c>
      <x:c r="F13" s="156" t="n">
        <x:f>E13*B13*Parametros!$B$11</x:f>
        <x:v>125.10997714285712</x:v>
      </x:c>
      <x:c r="G13" s="156" t="n">
        <x:f>Custos!G13</x:f>
        <x:v>525.461904</x:v>
      </x:c>
      <x:c r="H13" s="131" t="n">
        <x:f>Custos!S13</x:f>
        <x:v>1063.4348057142854</x:v>
      </x:c>
      <x:c r="I13" s="131" t="n">
        <x:f>Custos!O13</x:f>
        <x:v>1515.8585201620513</x:v>
      </x:c>
      <x:c r="J13" s="131" t="n">
        <x:f>Custos!T13</x:f>
        <x:v>106.34348057142854</x:v>
      </x:c>
      <x:c r="K13" s="131" t="n">
        <x:f>Custos!U13</x:f>
        <x:v>0</x:v>
      </x:c>
      <x:c r="L13" s="140" t="n">
        <x:f>H13-SUM(I13:K13)</x:f>
        <x:v>-558.7671950191943</x:v>
      </x:c>
      <x:c r="M13" s="140" t="n">
        <x:f>L13-D13</x:f>
        <x:v>-2179.7671950191943</x:v>
      </x:c>
      <x:c r="N13" s="71" t="str">
        <x:f>IF(Parametros!$B$11&lt;=0,"SEM JORNADA",IF(M13&gt;=0,"ATINGE META","NÃO ATINGE META"))</x:f>
        <x:v>NÃO ATINGE META</x:v>
      </x:c>
      <x:c r="O13" s="131" t="n">
        <x:f>IF((1-Parametros!$B$13-Parametros!$B$34)&gt;0,(I13+D13)/(1-Parametros!$B$13-Parametros!$B$34),0)</x:f>
        <x:v>3485.3983557356123</x:v>
      </x:c>
      <x:c r="P13" s="131" t="n">
        <x:f>IF(F13&gt;0,O13/F13,0)</x:f>
        <x:v>27.858676304894548</x:v>
      </x:c>
      <x:c r="Q13" s="131" t="n">
        <x:f>IF(B13*Parametros!$B$11&gt;0,O13/(B13*Parametros!$B$11),0)</x:f>
        <x:v>67.77163469485913</x:v>
      </x:c>
      <x:c r="R13" s="131" t="n">
        <x:f>Custos!V13</x:f>
        <x:v>1622.2020007334797</x:v>
      </x:c>
      <x:c r="S13" s="42" t="n">
        <x:f>Custos!R13</x:f>
        <x:v>2.8848114556408473</x:v>
      </x:c>
      <x:c r="T13" s="162" t="n">
        <x:f>IF(H13&gt;0,L13/H13,0)</x:f>
        <x:v>-0.5254362486695956</x:v>
      </x:c>
      <x:c r="U13" s="27" t="str">
        <x:f>"HIPÓTESES: validar repasse, demanda, seguro e impostos"</x:f>
        <x:v>HIPÓTESES: validar repasse, demanda, seguro e impostos</x:v>
      </x:c>
    </x:row>
    <x:row r="14" ht="23" customHeight="1">
      <x:c r="A14" s="27" t="str">
        <x:f>Custos!A14</x:f>
        <x:v>Equilibrado</x:v>
      </x:c>
      <x:c r="B14" s="27" t="n">
        <x:f>Custos!B14</x:f>
        <x:v>6</x:v>
      </x:c>
      <x:c r="C14" s="27" t="str">
        <x:f>Custos!C14</x:f>
        <x:v>15% SM</x:v>
      </x:c>
      <x:c r="D14" s="131" t="n">
        <x:f>Parametros!$B$12*Parametros!$B$14</x:f>
        <x:v>243.14999999999998</x:v>
      </x:c>
      <x:c r="E14" s="156" t="n">
        <x:f>Custos!D14</x:f>
        <x:v>3.2174339999999995</x:v>
      </x:c>
      <x:c r="F14" s="156" t="n">
        <x:f>E14*B14*Parametros!$B$11</x:f>
        <x:v>330.9360685714285</x:v>
      </x:c>
      <x:c r="G14" s="156" t="n">
        <x:f>Custos!G14</x:f>
        <x:v>1389.931488</x:v>
      </x:c>
      <x:c r="H14" s="131" t="n">
        <x:f>Custos!S14</x:f>
        <x:v>2812.956582857142</x:v>
      </x:c>
      <x:c r="I14" s="131" t="n">
        <x:f>Custos!O14</x:f>
        <x:v>2190.9206017189745</x:v>
      </x:c>
      <x:c r="J14" s="131" t="n">
        <x:f>Custos!T14</x:f>
        <x:v>281.29565828571424</x:v>
      </x:c>
      <x:c r="K14" s="131" t="n">
        <x:f>Custos!U14</x:f>
        <x:v>0</x:v>
      </x:c>
      <x:c r="L14" s="140" t="n">
        <x:f>H14-SUM(I14:K14)</x:f>
        <x:v>340.7403228524536</x:v>
      </x:c>
      <x:c r="M14" s="140" t="n">
        <x:f>L14-D14</x:f>
        <x:v>97.5903228524536</x:v>
      </x:c>
      <x:c r="N14" s="71" t="str">
        <x:f>IF(Parametros!$B$11&lt;=0,"SEM JORNADA",IF(M14&gt;=0,"ATINGE META","NÃO ATINGE META"))</x:f>
        <x:v>ATINGE META</x:v>
      </x:c>
      <x:c r="O14" s="131" t="n">
        <x:f>IF((1-Parametros!$B$13-Parametros!$B$34)&gt;0,(I14+D14)/(1-Parametros!$B$13-Parametros!$B$34),0)</x:f>
        <x:v>2704.5228907988608</x:v>
      </x:c>
      <x:c r="P14" s="131" t="n">
        <x:f>IF(F14&gt;0,O14/F14,0)</x:f>
        <x:v>8.17234247833316</x:v>
      </x:c>
      <x:c r="Q14" s="131" t="n">
        <x:f>IF(B14*Parametros!$B$11&gt;0,O14/(B14*Parametros!$B$11),0)</x:f>
        <x:v>26.293972549433366</x:v>
      </x:c>
      <x:c r="R14" s="131" t="n">
        <x:f>Custos!V14</x:f>
        <x:v>2472.2162600046886</x:v>
      </x:c>
      <x:c r="S14" s="42" t="n">
        <x:f>Custos!R14</x:f>
        <x:v>1.5762795653126283</x:v>
      </x:c>
      <x:c r="T14" s="162" t="n">
        <x:f>IF(H14&gt;0,L14/H14,0)</x:f>
        <x:v>0.12113245008081885</x:v>
      </x:c>
      <x:c r="U14" s="27" t="str">
        <x:f>"HIPÓTESES: validar repasse, demanda, seguro e impostos"</x:f>
        <x:v>HIPÓTESES: validar repasse, demanda, seguro e impostos</x:v>
      </x:c>
    </x:row>
    <x:row r="15" ht="23" customHeight="1">
      <x:c r="A15" s="27" t="str">
        <x:f>Custos!A15</x:f>
        <x:v>Equilibrado</x:v>
      </x:c>
      <x:c r="B15" s="27" t="n">
        <x:f>Custos!B15</x:f>
        <x:v>6</x:v>
      </x:c>
      <x:c r="C15" s="27" t="str">
        <x:f>Custos!C15</x:f>
        <x:v>100% SM</x:v>
      </x:c>
      <x:c r="D15" s="131" t="n">
        <x:f>Parametros!$B$12*Parametros!$B$15</x:f>
        <x:v>1621</x:v>
      </x:c>
      <x:c r="E15" s="156" t="n">
        <x:f>Custos!D15</x:f>
        <x:v>2.4326939999999997</x:v>
      </x:c>
      <x:c r="F15" s="156" t="n">
        <x:f>E15*B15*Parametros!$B$11</x:f>
        <x:v>250.21995428571424</x:v>
      </x:c>
      <x:c r="G15" s="156" t="n">
        <x:f>Custos!G15</x:f>
        <x:v>1050.923808</x:v>
      </x:c>
      <x:c r="H15" s="131" t="n">
        <x:f>Custos!S15</x:f>
        <x:v>2126.869611428571</x:v>
      </x:c>
      <x:c r="I15" s="131" t="n">
        <x:f>Custos!O15</x:f>
        <x:v>1926.1903736574359</x:v>
      </x:c>
      <x:c r="J15" s="131" t="n">
        <x:f>Custos!T15</x:f>
        <x:v>212.6869611428571</x:v>
      </x:c>
      <x:c r="K15" s="131" t="n">
        <x:f>Custos!U15</x:f>
        <x:v>0</x:v>
      </x:c>
      <x:c r="L15" s="140" t="n">
        <x:f>H15-SUM(I15:K15)</x:f>
        <x:v>-12.007723371722022</x:v>
      </x:c>
      <x:c r="M15" s="140" t="n">
        <x:f>L15-D15</x:f>
        <x:v>-1633.007723371722</x:v>
      </x:c>
      <x:c r="N15" s="71" t="str">
        <x:f>IF(Parametros!$B$11&lt;=0,"SEM JORNADA",IF(M15&gt;=0,"ATINGE META","NÃO ATINGE META"))</x:f>
        <x:v>NÃO ATINGE META</x:v>
      </x:c>
      <x:c r="O15" s="131" t="n">
        <x:f>IF((1-Parametros!$B$13-Parametros!$B$34)&gt;0,(I15+D15)/(1-Parametros!$B$13-Parametros!$B$34),0)</x:f>
        <x:v>3941.322637397151</x:v>
      </x:c>
      <x:c r="P15" s="131" t="n">
        <x:f>IF(F15&gt;0,O15/F15,0)</x:f>
        <x:v>15.751432169541294</x:v>
      </x:c>
      <x:c r="Q15" s="131" t="n">
        <x:f>IF(B15*Parametros!$B$11&gt;0,O15/(B15*Parametros!$B$11),0)</x:f>
        <x:v>38.31841453025008</x:v>
      </x:c>
      <x:c r="R15" s="131" t="n">
        <x:f>Custos!V15</x:f>
        <x:v>2138.877334800293</x:v>
      </x:c>
      <x:c r="S15" s="42" t="n">
        <x:f>Custos!R15</x:f>
        <x:v>1.8328544457691416</x:v>
      </x:c>
      <x:c r="T15" s="162" t="n">
        <x:f>IF(H15&gt;0,L15/H15,0)</x:f>
        <x:v>-0.00564572614475257</x:v>
      </x:c>
      <x:c r="U15" s="27" t="str">
        <x:f>"HIPÓTESES: validar repasse, demanda, seguro e impostos"</x:f>
        <x:v>HIPÓTESES: validar repasse, demanda, seguro e impostos</x:v>
      </x:c>
    </x:row>
    <x:row r="16" ht="23" customHeight="1">
      <x:c r="A16" s="27" t="str">
        <x:f>Custos!A16</x:f>
        <x:v>Equilibrado</x:v>
      </x:c>
      <x:c r="B16" s="27" t="n">
        <x:f>Custos!B16</x:f>
        <x:v>8</x:v>
      </x:c>
      <x:c r="C16" s="27" t="str">
        <x:f>Custos!C16</x:f>
        <x:v>15% SM</x:v>
      </x:c>
      <x:c r="D16" s="131" t="n">
        <x:f>Parametros!$B$12*Parametros!$B$14</x:f>
        <x:v>243.14999999999998</x:v>
      </x:c>
      <x:c r="E16" s="156" t="n">
        <x:f>Custos!D16</x:f>
        <x:v>3.2174339999999995</x:v>
      </x:c>
      <x:c r="F16" s="156" t="n">
        <x:f>E16*B16*Parametros!$B$11</x:f>
        <x:v>441.24809142857134</x:v>
      </x:c>
      <x:c r="G16" s="156" t="n">
        <x:f>Custos!G16</x:f>
        <x:v>1853.2419839999995</x:v>
      </x:c>
      <x:c r="H16" s="131" t="n">
        <x:f>Custos!S16</x:f>
        <x:v>3750.6087771428565</x:v>
      </x:c>
      <x:c r="I16" s="131" t="n">
        <x:f>Custos!O16</x:f>
        <x:v>2552.718580069743</x:v>
      </x:c>
      <x:c r="J16" s="131" t="n">
        <x:f>Custos!T16</x:f>
        <x:v>375.06087771428565</x:v>
      </x:c>
      <x:c r="K16" s="131" t="n">
        <x:f>Custos!U16</x:f>
        <x:v>0</x:v>
      </x:c>
      <x:c r="L16" s="140" t="n">
        <x:f>H16-SUM(I16:K16)</x:f>
        <x:v>822.8293193588279</x:v>
      </x:c>
      <x:c r="M16" s="140" t="n">
        <x:f>L16-D16</x:f>
        <x:v>579.6793193588279</x:v>
      </x:c>
      <x:c r="N16" s="71" t="str">
        <x:f>IF(Parametros!$B$11&lt;=0,"SEM JORNADA",IF(M16&gt;=0,"ATINGE META","NÃO ATINGE META"))</x:f>
        <x:v>ATINGE META</x:v>
      </x:c>
      <x:c r="O16" s="131" t="n">
        <x:f>IF((1-Parametros!$B$13-Parametros!$B$34)&gt;0,(I16+D16)/(1-Parametros!$B$13-Parametros!$B$34),0)</x:f>
        <x:v>3106.5206445219364</x:v>
      </x:c>
      <x:c r="P16" s="131" t="n">
        <x:f>IF(F16&gt;0,O16/F16,0)</x:f>
        <x:v>7.040303867296876</x:v>
      </x:c>
      <x:c r="Q16" s="131" t="n">
        <x:f>IF(B16*Parametros!$B$11&gt;0,O16/(B16*Parametros!$B$11),0)</x:f>
        <x:v>22.651713032972452</x:v>
      </x:c>
      <x:c r="R16" s="131" t="n">
        <x:f>Custos!V16</x:f>
        <x:v>2927.7794577840286</x:v>
      </x:c>
      <x:c r="S16" s="42" t="n">
        <x:f>Custos!R16</x:f>
        <x:v>1.3774340329588302</x:v>
      </x:c>
      <x:c r="T16" s="162" t="n">
        <x:f>IF(H16&gt;0,L16/H16,0)</x:f>
        <x:v>0.21938553665563695</x:v>
      </x:c>
      <x:c r="U16" s="27" t="str">
        <x:f>"HIPÓTESES: validar repasse, demanda, seguro e impostos"</x:f>
        <x:v>HIPÓTESES: validar repasse, demanda, seguro e impostos</x:v>
      </x:c>
    </x:row>
    <x:row r="17" ht="23" customHeight="1">
      <x:c r="A17" s="27" t="str">
        <x:f>Custos!A17</x:f>
        <x:v>Equilibrado</x:v>
      </x:c>
      <x:c r="B17" s="27" t="n">
        <x:f>Custos!B17</x:f>
        <x:v>8</x:v>
      </x:c>
      <x:c r="C17" s="27" t="str">
        <x:f>Custos!C17</x:f>
        <x:v>100% SM</x:v>
      </x:c>
      <x:c r="D17" s="131" t="n">
        <x:f>Parametros!$B$12*Parametros!$B$15</x:f>
        <x:v>1621</x:v>
      </x:c>
      <x:c r="E17" s="156" t="n">
        <x:f>Custos!D17</x:f>
        <x:v>2.4326939999999997</x:v>
      </x:c>
      <x:c r="F17" s="156" t="n">
        <x:f>E17*B17*Parametros!$B$11</x:f>
        <x:v>333.6266057142857</x:v>
      </x:c>
      <x:c r="G17" s="156" t="n">
        <x:f>Custos!G17</x:f>
        <x:v>1401.2317439999997</x:v>
      </x:c>
      <x:c r="H17" s="131" t="n">
        <x:f>Custos!S17</x:f>
        <x:v>2835.8261485714283</x:v>
      </x:c>
      <x:c r="I17" s="131" t="n">
        <x:f>Custos!O17</x:f>
        <x:v>2199.7449426543585</x:v>
      </x:c>
      <x:c r="J17" s="131" t="n">
        <x:f>Custos!T17</x:f>
        <x:v>283.58261485714286</x:v>
      </x:c>
      <x:c r="K17" s="131" t="n">
        <x:f>Custos!U17</x:f>
        <x:v>0</x:v>
      </x:c>
      <x:c r="L17" s="140" t="n">
        <x:f>H17-SUM(I17:K17)</x:f>
        <x:v>352.4985910599271</x:v>
      </x:c>
      <x:c r="M17" s="140" t="n">
        <x:f>L17-D17</x:f>
        <x:v>-1268.501408940073</x:v>
      </x:c>
      <x:c r="N17" s="71" t="str">
        <x:f>IF(Parametros!$B$11&lt;=0,"SEM JORNADA",IF(M17&gt;=0,"ATINGE META","NÃO ATINGE META"))</x:f>
        <x:v>NÃO ATINGE META</x:v>
      </x:c>
      <x:c r="O17" s="131" t="n">
        <x:f>IF((1-Parametros!$B$13-Parametros!$B$34)&gt;0,(I17+D17)/(1-Parametros!$B$13-Parametros!$B$34),0)</x:f>
        <x:v>4245.272158504843</x:v>
      </x:c>
      <x:c r="P17" s="131" t="n">
        <x:f>IF(F17&gt;0,O17/F17,0)</x:f>
        <x:v>12.724621135702977</x:v>
      </x:c>
      <x:c r="Q17" s="131" t="n">
        <x:f>IF(B17*Parametros!$B$11&gt;0,O17/(B17*Parametros!$B$11),0)</x:f>
        <x:v>30.955109489097815</x:v>
      </x:c>
      <x:c r="R17" s="131" t="n">
        <x:f>Custos!V17</x:f>
        <x:v>2483.3275575115013</x:v>
      </x:c>
      <x:c r="S17" s="42" t="n">
        <x:f>Custos!R17</x:f>
        <x:v>1.5698651933012153</x:v>
      </x:c>
      <x:c r="T17" s="162" t="n">
        <x:f>IF(H17&gt;0,L17/H17,0)</x:f>
        <x:v>0.12430190448645848</x:v>
      </x:c>
      <x:c r="U17" s="27" t="str">
        <x:f>"HIPÓTESES: validar repasse, demanda, seguro e impostos"</x:f>
        <x:v>HIPÓTESES: validar repasse, demanda, seguro e impostos</x:v>
      </x:c>
    </x:row>
    <x:row r="18" ht="23" customHeight="1">
      <x:c r="A18" s="27" t="str">
        <x:f>Custos!A18</x:f>
        <x:v>Pessimista</x:v>
      </x:c>
      <x:c r="B18" s="27" t="n">
        <x:f>Custos!B18</x:f>
        <x:v>3</x:v>
      </x:c>
      <x:c r="C18" s="27" t="str">
        <x:f>Custos!C18</x:f>
        <x:v>15% SM</x:v>
      </x:c>
      <x:c r="D18" s="131" t="n">
        <x:f>Parametros!$B$12*Parametros!$B$14</x:f>
        <x:v>243.14999999999998</x:v>
      </x:c>
      <x:c r="E18" s="156" t="n">
        <x:f>Custos!D18</x:f>
        <x:v>1.89216</x:v>
      </x:c>
      <x:c r="F18" s="156" t="n">
        <x:f>E18*B18*Parametros!$B$11</x:f>
        <x:v>97.31108571428571</x:v>
      </x:c>
      <x:c r="G18" s="156" t="n">
        <x:f>Custos!G18</x:f>
        <x:v>515.7487542857141</x:v>
      </x:c>
      <x:c r="H18" s="131" t="n">
        <x:f>Custos!S18</x:f>
        <x:v>681.1776</x:v>
      </x:c>
      <x:c r="I18" s="131" t="n">
        <x:f>Custos!O18</x:f>
        <x:v>1633.1773152820513</x:v>
      </x:c>
      <x:c r="J18" s="131" t="n">
        <x:f>Custos!T18</x:f>
        <x:v>68.11776</x:v>
      </x:c>
      <x:c r="K18" s="131" t="n">
        <x:f>Custos!U18</x:f>
        <x:v>0</x:v>
      </x:c>
      <x:c r="L18" s="140" t="n">
        <x:f>H18-SUM(I18:K18)</x:f>
        <x:v>-1020.1174752820514</x:v>
      </x:c>
      <x:c r="M18" s="140" t="n">
        <x:f>L18-D18</x:f>
        <x:v>-1263.2674752820512</x:v>
      </x:c>
      <x:c r="N18" s="71" t="str">
        <x:f>IF(Parametros!$B$11&lt;=0,"SEM JORNADA",IF(M18&gt;=0,"ATINGE META","NÃO ATINGE META"))</x:f>
        <x:v>NÃO ATINGE META</x:v>
      </x:c>
      <x:c r="O18" s="131" t="n">
        <x:f>IF((1-Parametros!$B$13-Parametros!$B$34)&gt;0,(I18+D18)/(1-Parametros!$B$13-Parametros!$B$34),0)</x:f>
        <x:v>2084.808128091168</x:v>
      </x:c>
      <x:c r="P18" s="131" t="n">
        <x:f>IF(F18&gt;0,O18/F18,0)</x:f>
        <x:v>21.424158540501296</x:v>
      </x:c>
      <x:c r="Q18" s="131" t="n">
        <x:f>IF(B18*Parametros!$B$11&gt;0,O18/(B18*Parametros!$B$11),0)</x:f>
        <x:v>40.53793582399493</x:v>
      </x:c>
      <x:c r="R18" s="131" t="n">
        <x:f>Custos!V18</x:f>
        <x:v>1701.2950752820514</x:v>
      </x:c>
      <x:c r="S18" s="42" t="n">
        <x:f>Custos!R18</x:f>
        <x:v>3.1666141734921283</x:v>
      </x:c>
      <x:c r="T18" s="162" t="n">
        <x:f>IF(H18&gt;0,L18/H18,0)</x:f>
        <x:v>-1.4975793027868964</x:v>
      </x:c>
      <x:c r="U18" s="27" t="str">
        <x:f>"HIPÓTESES: validar repasse, demanda, seguro e impostos"</x:f>
        <x:v>HIPÓTESES: validar repasse, demanda, seguro e impostos</x:v>
      </x:c>
    </x:row>
    <x:row r="19" ht="23" customHeight="1">
      <x:c r="A19" s="27" t="str">
        <x:f>Custos!A19</x:f>
        <x:v>Pessimista</x:v>
      </x:c>
      <x:c r="B19" s="27" t="n">
        <x:f>Custos!B19</x:f>
        <x:v>3</x:v>
      </x:c>
      <x:c r="C19" s="27" t="str">
        <x:f>Custos!C19</x:f>
        <x:v>100% SM</x:v>
      </x:c>
      <x:c r="D19" s="131" t="n">
        <x:f>Parametros!$B$12*Parametros!$B$15</x:f>
        <x:v>1621</x:v>
      </x:c>
      <x:c r="E19" s="156" t="n">
        <x:f>Custos!D19</x:f>
        <x:v>1.296</x:v>
      </x:c>
      <x:c r="F19" s="156" t="n">
        <x:f>E19*B19*Parametros!$B$11</x:f>
        <x:v>66.65142857142857</x:v>
      </x:c>
      <x:c r="G19" s="156" t="n">
        <x:f>Custos!G19</x:f>
        <x:v>353.2525714285713</x:v>
      </x:c>
      <x:c r="H19" s="131" t="n">
        <x:f>Custos!S19</x:f>
        <x:v>466.55999999999995</x:v>
      </x:c>
      <x:c r="I19" s="131" t="n">
        <x:f>Custos!O19</x:f>
        <x:v>1466.9312205128203</x:v>
      </x:c>
      <x:c r="J19" s="131" t="n">
        <x:f>Custos!T19</x:f>
        <x:v>46.656</x:v>
      </x:c>
      <x:c r="K19" s="131" t="n">
        <x:f>Custos!U19</x:f>
        <x:v>0</x:v>
      </x:c>
      <x:c r="L19" s="140" t="n">
        <x:f>H19-SUM(I19:K19)</x:f>
        <x:v>-1047.0272205128203</x:v>
      </x:c>
      <x:c r="M19" s="140" t="n">
        <x:f>L19-D19</x:f>
        <x:v>-2668.0272205128203</x:v>
      </x:c>
      <x:c r="N19" s="71" t="str">
        <x:f>IF(Parametros!$B$11&lt;=0,"SEM JORNADA",IF(M19&gt;=0,"ATINGE META","NÃO ATINGE META"))</x:f>
        <x:v>NÃO ATINGE META</x:v>
      </x:c>
      <x:c r="O19" s="131" t="n">
        <x:f>IF((1-Parametros!$B$13-Parametros!$B$34)&gt;0,(I19+D19)/(1-Parametros!$B$13-Parametros!$B$34),0)</x:f>
        <x:v>3431.034689458689</x:v>
      </x:c>
      <x:c r="P19" s="131" t="n">
        <x:f>IF(F19&gt;0,O19/F19,0)</x:f>
        <x:v>51.47728657881264</x:v>
      </x:c>
      <x:c r="Q19" s="131" t="n">
        <x:f>IF(B19*Parametros!$B$11&gt;0,O19/(B19*Parametros!$B$11),0)</x:f>
        <x:v>66.71456340614118</x:v>
      </x:c>
      <x:c r="R19" s="131" t="n">
        <x:f>Custos!V19</x:f>
        <x:v>1513.5872205128203</x:v>
      </x:c>
      <x:c r="S19" s="42" t="n">
        <x:f>Custos!R19</x:f>
        <x:v>4.152641308683122</x:v>
      </x:c>
      <x:c r="T19" s="162" t="n">
        <x:f>IF(H19&gt;0,L19/H19,0)</x:f>
        <x:v>-2.2441427051457916</x:v>
      </x:c>
      <x:c r="U19" s="27" t="str">
        <x:f>"HIPÓTESES: validar repasse, demanda, seguro e impostos"</x:f>
        <x:v>HIPÓTESES: validar repasse, demanda, seguro e impostos</x:v>
      </x:c>
    </x:row>
    <x:row r="20" ht="23" customHeight="1">
      <x:c r="A20" s="27" t="str">
        <x:f>Custos!A20</x:f>
        <x:v>Pessimista</x:v>
      </x:c>
      <x:c r="B20" s="27" t="n">
        <x:f>Custos!B20</x:f>
        <x:v>6</x:v>
      </x:c>
      <x:c r="C20" s="27" t="str">
        <x:f>Custos!C20</x:f>
        <x:v>15% SM</x:v>
      </x:c>
      <x:c r="D20" s="131" t="n">
        <x:f>Parametros!$B$12*Parametros!$B$14</x:f>
        <x:v>243.14999999999998</x:v>
      </x:c>
      <x:c r="E20" s="156" t="n">
        <x:f>Custos!D20</x:f>
        <x:v>1.89216</x:v>
      </x:c>
      <x:c r="F20" s="156" t="n">
        <x:f>E20*B20*Parametros!$B$11</x:f>
        <x:v>194.62217142857142</x:v>
      </x:c>
      <x:c r="G20" s="156" t="n">
        <x:f>Custos!G20</x:f>
        <x:v>1031.4975085714282</x:v>
      </x:c>
      <x:c r="H20" s="131" t="n">
        <x:f>Custos!S20</x:f>
        <x:v>1362.3552</x:v>
      </x:c>
      <x:c r="I20" s="131" t="n">
        <x:f>Custos!O20</x:f>
        <x:v>2160.827963897436</x:v>
      </x:c>
      <x:c r="J20" s="131" t="n">
        <x:f>Custos!T20</x:f>
        <x:v>136.23552</x:v>
      </x:c>
      <x:c r="K20" s="131" t="n">
        <x:f>Custos!U20</x:f>
        <x:v>0</x:v>
      </x:c>
      <x:c r="L20" s="140" t="n">
        <x:f>H20-SUM(I20:K20)</x:f>
        <x:v>-934.7082838974361</x:v>
      </x:c>
      <x:c r="M20" s="140" t="n">
        <x:f>L20-D20</x:f>
        <x:v>-1177.8582838974362</x:v>
      </x:c>
      <x:c r="N20" s="71" t="str">
        <x:f>IF(Parametros!$B$11&lt;=0,"SEM JORNADA",IF(M20&gt;=0,"ATINGE META","NÃO ATINGE META"))</x:f>
        <x:v>NÃO ATINGE META</x:v>
      </x:c>
      <x:c r="O20" s="131" t="n">
        <x:f>IF((1-Parametros!$B$13-Parametros!$B$34)&gt;0,(I20+D20)/(1-Parametros!$B$13-Parametros!$B$34),0)</x:f>
        <x:v>2671.0866265527065</x:v>
      </x:c>
      <x:c r="P20" s="131" t="n">
        <x:f>IF(F20&gt;0,O20/F20,0)</x:f>
        <x:v>13.724472432643811</x:v>
      </x:c>
      <x:c r="Q20" s="131" t="n">
        <x:f>IF(B20*Parametros!$B$11&gt;0,O20/(B20*Parametros!$B$11),0)</x:f>
        <x:v>25.968897758151314</x:v>
      </x:c>
      <x:c r="R20" s="131" t="n">
        <x:f>Custos!V20</x:f>
        <x:v>2297.063483897436</x:v>
      </x:c>
      <x:c r="S20" s="42" t="n">
        <x:f>Custos!R20</x:f>
        <x:v>2.094845548284526</x:v>
      </x:c>
      <x:c r="T20" s="162" t="n">
        <x:f>IF(H20&gt;0,L20/H20,0)</x:f>
        <x:v>-0.6860973437011406</x:v>
      </x:c>
      <x:c r="U20" s="27" t="str">
        <x:f>"HIPÓTESES: validar repasse, demanda, seguro e impostos"</x:f>
        <x:v>HIPÓTESES: validar repasse, demanda, seguro e impostos</x:v>
      </x:c>
    </x:row>
    <x:row r="21" ht="23" customHeight="1">
      <x:c r="A21" s="27" t="str">
        <x:f>Custos!A21</x:f>
        <x:v>Pessimista</x:v>
      </x:c>
      <x:c r="B21" s="27" t="n">
        <x:f>Custos!B21</x:f>
        <x:v>6</x:v>
      </x:c>
      <x:c r="C21" s="27" t="str">
        <x:f>Custos!C21</x:f>
        <x:v>100% SM</x:v>
      </x:c>
      <x:c r="D21" s="131" t="n">
        <x:f>Parametros!$B$12*Parametros!$B$15</x:f>
        <x:v>1621</x:v>
      </x:c>
      <x:c r="E21" s="156" t="n">
        <x:f>Custos!D21</x:f>
        <x:v>1.296</x:v>
      </x:c>
      <x:c r="F21" s="156" t="n">
        <x:f>E21*B21*Parametros!$B$11</x:f>
        <x:v>133.30285714285714</x:v>
      </x:c>
      <x:c r="G21" s="156" t="n">
        <x:f>Custos!G21</x:f>
        <x:v>706.5051428571426</x:v>
      </x:c>
      <x:c r="H21" s="131" t="n">
        <x:f>Custos!S21</x:f>
        <x:v>933.1199999999999</x:v>
      </x:c>
      <x:c r="I21" s="131" t="n">
        <x:f>Custos!O21</x:f>
        <x:v>1828.335774358974</x:v>
      </x:c>
      <x:c r="J21" s="131" t="n">
        <x:f>Custos!T21</x:f>
        <x:v>93.312</x:v>
      </x:c>
      <x:c r="K21" s="131" t="n">
        <x:f>Custos!U21</x:f>
        <x:v>0</x:v>
      </x:c>
      <x:c r="L21" s="140" t="n">
        <x:f>H21-SUM(I21:K21)</x:f>
        <x:v>-988.527774358974</x:v>
      </x:c>
      <x:c r="M21" s="140" t="n">
        <x:f>L21-D21</x:f>
        <x:v>-2609.527774358974</x:v>
      </x:c>
      <x:c r="N21" s="71" t="str">
        <x:f>IF(Parametros!$B$11&lt;=0,"SEM JORNADA",IF(M21&gt;=0,"ATINGE META","NÃO ATINGE META"))</x:f>
        <x:v>NÃO ATINGE META</x:v>
      </x:c>
      <x:c r="O21" s="131" t="n">
        <x:f>IF((1-Parametros!$B$13-Parametros!$B$34)&gt;0,(I21+D21)/(1-Parametros!$B$13-Parametros!$B$34),0)</x:f>
        <x:v>3832.5953048433043</x:v>
      </x:c>
      <x:c r="P21" s="131" t="n">
        <x:f>IF(F21&gt;0,O21/F21,0)</x:f>
        <x:v>28.751036451799482</x:v>
      </x:c>
      <x:c r="Q21" s="131" t="n">
        <x:f>IF(B21*Parametros!$B$11&gt;0,O21/(B21*Parametros!$B$11),0)</x:f>
        <x:v>37.261343241532124</x:v>
      </x:c>
      <x:c r="R21" s="131" t="n">
        <x:f>Custos!V21</x:f>
        <x:v>1921.647774358974</x:v>
      </x:c>
      <x:c r="S21" s="42" t="n">
        <x:f>Custos!R21</x:f>
        <x:v>2.587859115880023</x:v>
      </x:c>
      <x:c r="T21" s="162" t="n">
        <x:f>IF(H21&gt;0,L21/H21,0)</x:f>
        <x:v>-1.059379044880588</x:v>
      </x:c>
      <x:c r="U21" s="27" t="str">
        <x:f>"HIPÓTESES: validar repasse, demanda, seguro e impostos"</x:f>
        <x:v>HIPÓTESES: validar repasse, demanda, seguro e impostos</x:v>
      </x:c>
    </x:row>
    <x:row r="22" ht="23" customHeight="1">
      <x:c r="A22" s="27" t="str">
        <x:f>Custos!A22</x:f>
        <x:v>Pessimista</x:v>
      </x:c>
      <x:c r="B22" s="27" t="n">
        <x:f>Custos!B22</x:f>
        <x:v>8</x:v>
      </x:c>
      <x:c r="C22" s="27" t="str">
        <x:f>Custos!C22</x:f>
        <x:v>15% SM</x:v>
      </x:c>
      <x:c r="D22" s="131" t="n">
        <x:f>Parametros!$B$12*Parametros!$B$14</x:f>
        <x:v>243.14999999999998</x:v>
      </x:c>
      <x:c r="E22" s="156" t="n">
        <x:f>Custos!D22</x:f>
        <x:v>1.89216</x:v>
      </x:c>
      <x:c r="F22" s="156" t="n">
        <x:f>E22*B22*Parametros!$B$11</x:f>
        <x:v>259.49622857142856</x:v>
      </x:c>
      <x:c r="G22" s="156" t="n">
        <x:f>Custos!G22</x:f>
        <x:v>1375.3300114285712</x:v>
      </x:c>
      <x:c r="H22" s="131" t="n">
        <x:f>Custos!S22</x:f>
        <x:v>1816.4735999999998</x:v>
      </x:c>
      <x:c r="I22" s="131" t="n">
        <x:f>Custos!O22</x:f>
        <x:v>2512.595062974359</x:v>
      </x:c>
      <x:c r="J22" s="131" t="n">
        <x:f>Custos!T22</x:f>
        <x:v>181.64736</x:v>
      </x:c>
      <x:c r="K22" s="131" t="n">
        <x:f>Custos!U22</x:f>
        <x:v>0</x:v>
      </x:c>
      <x:c r="L22" s="140" t="n">
        <x:f>H22-SUM(I22:K22)</x:f>
        <x:v>-877.768822974359</x:v>
      </x:c>
      <x:c r="M22" s="140" t="n">
        <x:f>L22-D22</x:f>
        <x:v>-1120.918822974359</x:v>
      </x:c>
      <x:c r="N22" s="71" t="str">
        <x:f>IF(Parametros!$B$11&lt;=0,"SEM JORNADA",IF(M22&gt;=0,"ATINGE META","NÃO ATINGE META"))</x:f>
        <x:v>NÃO ATINGE META</x:v>
      </x:c>
      <x:c r="O22" s="131" t="n">
        <x:f>IF((1-Parametros!$B$13-Parametros!$B$34)&gt;0,(I22+D22)/(1-Parametros!$B$13-Parametros!$B$34),0)</x:f>
        <x:v>3061.9389588603985</x:v>
      </x:c>
      <x:c r="P22" s="131" t="n">
        <x:f>IF(F22&gt;0,O22/F22,0)</x:f>
        <x:v>11.799550905679439</x:v>
      </x:c>
      <x:c r="Q22" s="131" t="n">
        <x:f>IF(B22*Parametros!$B$11&gt;0,O22/(B22*Parametros!$B$11),0)</x:f>
        <x:v>22.326638241690407</x:v>
      </x:c>
      <x:c r="R22" s="131" t="n">
        <x:f>Custos!V22</x:f>
        <x:v>2694.2424229743588</x:v>
      </x:c>
      <x:c r="S22" s="42" t="n">
        <x:f>Custos!R22</x:f>
        <x:v>1.8269033919826247</x:v>
      </x:c>
      <x:c r="T22" s="162" t="n">
        <x:f>IF(H22&gt;0,L22/H22,0)</x:f>
        <x:v>-0.4832268539297015</x:v>
      </x:c>
      <x:c r="U22" s="27" t="str">
        <x:f>"HIPÓTESES: validar repasse, demanda, seguro e impostos"</x:f>
        <x:v>HIPÓTESES: validar repasse, demanda, seguro e impostos</x:v>
      </x:c>
    </x:row>
    <x:row r="23" ht="23" customHeight="1">
      <x:c r="A23" s="27" t="str">
        <x:f>Custos!A23</x:f>
        <x:v>Pessimista</x:v>
      </x:c>
      <x:c r="B23" s="27" t="n">
        <x:f>Custos!B23</x:f>
        <x:v>8</x:v>
      </x:c>
      <x:c r="C23" s="27" t="str">
        <x:f>Custos!C23</x:f>
        <x:v>100% SM</x:v>
      </x:c>
      <x:c r="D23" s="131" t="n">
        <x:f>Parametros!$B$12*Parametros!$B$15</x:f>
        <x:v>1621</x:v>
      </x:c>
      <x:c r="E23" s="156" t="n">
        <x:f>Custos!D23</x:f>
        <x:v>1.296</x:v>
      </x:c>
      <x:c r="F23" s="156" t="n">
        <x:f>E23*B23*Parametros!$B$11</x:f>
        <x:v>177.73714285714286</x:v>
      </x:c>
      <x:c r="G23" s="156" t="n">
        <x:f>Custos!G23</x:f>
        <x:v>942.0068571428569</x:v>
      </x:c>
      <x:c r="H23" s="131" t="n">
        <x:f>Custos!S23</x:f>
        <x:v>1244.16</x:v>
      </x:c>
      <x:c r="I23" s="131" t="n">
        <x:f>Custos!O23</x:f>
        <x:v>2069.2721435897433</x:v>
      </x:c>
      <x:c r="J23" s="131" t="n">
        <x:f>Custos!T23</x:f>
        <x:v>124.41600000000001</x:v>
      </x:c>
      <x:c r="K23" s="131" t="n">
        <x:f>Custos!U23</x:f>
        <x:v>0</x:v>
      </x:c>
      <x:c r="L23" s="140" t="n">
        <x:f>H23-SUM(I23:K23)</x:f>
        <x:v>-949.5281435897434</x:v>
      </x:c>
      <x:c r="M23" s="140" t="n">
        <x:f>L23-D23</x:f>
        <x:v>-2570.528143589743</x:v>
      </x:c>
      <x:c r="N23" s="71" t="str">
        <x:f>IF(Parametros!$B$11&lt;=0,"SEM JORNADA",IF(M23&gt;=0,"ATINGE META","NÃO ATINGE META"))</x:f>
        <x:v>NÃO ATINGE META</x:v>
      </x:c>
      <x:c r="O23" s="131" t="n">
        <x:f>IF((1-Parametros!$B$13-Parametros!$B$34)&gt;0,(I23+D23)/(1-Parametros!$B$13-Parametros!$B$34),0)</x:f>
        <x:v>4100.302381766382</x:v>
      </x:c>
      <x:c r="P23" s="131" t="n">
        <x:f>IF(F23&gt;0,O23/F23,0)</x:f>
        <x:v>23.069473920046192</x:v>
      </x:c>
      <x:c r="Q23" s="131" t="n">
        <x:f>IF(B23*Parametros!$B$11&gt;0,O23/(B23*Parametros!$B$11),0)</x:f>
        <x:v>29.898038200379865</x:v>
      </x:c>
      <x:c r="R23" s="131" t="n">
        <x:f>Custos!V23</x:f>
        <x:v>2193.6881435897435</x:v>
      </x:c>
      <x:c r="S23" s="42" t="n">
        <x:f>Custos!R23</x:f>
        <x:v>2.1966635676792476</x:v>
      </x:c>
      <x:c r="T23" s="162" t="n">
        <x:f>IF(H23&gt;0,L23/H23,0)</x:f>
        <x:v>-0.7631881298142871</x:v>
      </x:c>
      <x:c r="U23" s="27" t="str">
        <x:f>"HIPÓTESES: validar repasse, demanda, seguro e impostos"</x:f>
        <x:v>HIPÓTESES: validar repasse, demanda, seguro e impostos</x:v>
      </x:c>
    </x:row>
    <x:row r="24" ht="23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</x:sheetData>
  <x:mergeCells>
    <x:mergeCell ref="A1:U1"/>
    <x:mergeCell ref="A2:U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4" hidden="0" customWidth="1"/>
    <x:col min="9" max="9" width="20" hidden="0" customWidth="1"/>
    <x:col min="10" max="10" width="20" hidden="0" customWidth="1"/>
    <x:col min="11" max="11" width="25" hidden="0" customWidth="1"/>
    <x:col min="12" max="12" width="33" hidden="0" customWidth="1"/>
    <x:col min="13" max="13" width="19" hidden="0" customWidth="1"/>
    <x:col min="14" max="14" width="48" hidden="0" customWidth="1"/>
  </x:cols>
  <x:sheetData>
    <x:row r="1" ht="33" customHeight="1">
      <x:c r="A1" s="4" t="str">
        <x:v>CONFIGURAÇÃO ROTA PRO | CADA CENÁRIO E META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26" t="str">
        <x:v>Sem piso R$/corrida. Verde sugerido por R$/km, R$/hora, lucro (%) e nota ≥ 4,80. Limites de área dependem da revisão do destino; classificação exata do aplicativo deve ser validada.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 ht="23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 ht="23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54" customHeight="1">
      <x:c r="A5" s="17" t="str">
        <x:v>Perfil</x:v>
      </x:c>
      <x:c r="B5" s="17" t="str">
        <x:v>Jornada (h/dia)</x:v>
      </x:c>
      <x:c r="C5" s="17" t="str">
        <x:v>Objetivo LLF</x:v>
      </x:c>
      <x:c r="D5" s="17" t="str">
        <x:v>Nota mínima passageiro</x:v>
      </x:c>
      <x:c r="E5" s="17" t="str">
        <x:v>R$/km para VERDE</x:v>
      </x:c>
      <x:c r="F5" s="17" t="str">
        <x:v>R$/hora para VERDE</x:v>
      </x:c>
      <x:c r="G5" s="17" t="str">
        <x:v>Lucro (%) para VERDE</x:v>
      </x:c>
      <x:c r="H5" s="17" t="str">
        <x:v>Valor mínimo por corrida</x:v>
      </x:c>
      <x:c r="I5" s="17" t="str">
        <x:v>Coleta máxima (km)</x:v>
      </x:c>
      <x:c r="J5" s="17" t="str">
        <x:v>Viagem máxima (km)</x:v>
      </x:c>
      <x:c r="K5" s="17" t="str">
        <x:v>Custo/km p/ calculadora (R$/km)</x:v>
      </x:c>
      <x:c r="L5" s="17" t="str">
        <x:v>Repasse médio necessário (R$/corrida) — NÃO É PISO</x:v>
      </x:c>
      <x:c r="M5" s="17" t="str">
        <x:v>Corridas viáveis projetadas/h</x:v>
      </x:c>
      <x:c r="N5" s="17" t="str">
        <x:v>Regra para destino</x:v>
      </x:c>
    </x:row>
    <x:row r="6" ht="23" customHeight="1">
      <x:c r="A6" s="27" t="str">
        <x:f>Resultados!A6</x:f>
        <x:v>Otimista</x:v>
      </x:c>
      <x:c r="B6" s="27" t="n">
        <x:f>Resultados!B6</x:f>
        <x:v>3</x:v>
      </x:c>
      <x:c r="C6" s="27" t="str">
        <x:f>Resultados!C6</x:f>
        <x:v>15% SM</x:v>
      </x:c>
      <x:c r="D6" s="160" t="n">
        <x:f>Parametros!$B$16</x:f>
        <x:v>4.8</x:v>
      </x:c>
      <x:c r="E6" s="142" t="n">
        <x:f>IF(Viagens!H6+Viagens!I6&gt;0,Resultados!P6/(Viagens!H6+Viagens!I6)*(1+Parametros!$B$37),0)</x:f>
        <x:v>3.1477151507634784</x:v>
      </x:c>
      <x:c r="F6" s="142" t="n">
        <x:f>IF(Viagens!G6&gt;0,Resultados!P6/(Viagens!G6/60)*(1+Parametros!$B$37),0)</x:f>
        <x:v>44.51768570365491</x:v>
      </x:c>
      <x:c r="G6" s="164" t="n">
        <x:f>IF(E6&gt;0,MAX(0,MIN(0.99,1-K6/E6)),0)</x:f>
        <x:v>0.25829530577697646</x:v>
      </x:c>
      <x:c r="H6" s="27" t="str">
        <x:f>"DESATIVAR"</x:f>
        <x:v>DESATIVAR</x:v>
      </x:c>
      <x:c r="I6" s="156" t="n">
        <x:f>Parametros!$B$18</x:f>
        <x:v>2</x:v>
      </x:c>
      <x:c r="J6" s="156" t="n">
        <x:f>Parametros!$B$19</x:f>
        <x:v>8</x:v>
      </x:c>
      <x:c r="K6" s="131" t="n">
        <x:f>IF(Resultados!F6*(Viagens!H6+Viagens!I6)&gt;0,Custos!O6/(Resultados!F6*(Viagens!H6+Viagens!I6)),0)</x:f>
        <x:v>2.334675103398204</x:v>
      </x:c>
      <x:c r="L6" s="131" t="n">
        <x:f>Resultados!P6</x:f>
        <x:v>9.892819045256646</x:v>
      </x:c>
      <x:c r="M6" s="156" t="n">
        <x:f>Resultados!E6</x:f>
        <x:v>3.942857142857143</x:v>
      </x:c>
      <x:c r="N6" s="27" t="str">
        <x:f>"RECUSAR destinos fora do núcleo; sem geocerca assegurada"</x:f>
        <x:v>RECUSAR destinos fora do núcleo; sem geocerca assegurada</x:v>
      </x:c>
    </x:row>
    <x:row r="7" ht="23" customHeight="1">
      <x:c r="A7" s="27" t="str">
        <x:f>Resultados!A7</x:f>
        <x:v>Otimista</x:v>
      </x:c>
      <x:c r="B7" s="27" t="n">
        <x:f>Resultados!B7</x:f>
        <x:v>3</x:v>
      </x:c>
      <x:c r="C7" s="27" t="str">
        <x:f>Resultados!C7</x:f>
        <x:v>100% SM</x:v>
      </x:c>
      <x:c r="D7" s="160" t="n">
        <x:f>Parametros!$B$16</x:f>
        <x:v>4.8</x:v>
      </x:c>
      <x:c r="E7" s="142" t="n">
        <x:f>IF(Viagens!H6+Viagens!I6&gt;0,Resultados!P7/(Viagens!H6+Viagens!I6)*(1+Parametros!$B$37),0)</x:f>
        <x:v>6.731544956348758</x:v>
      </x:c>
      <x:c r="F7" s="142" t="n">
        <x:f>IF(Viagens!G6&gt;0,Resultados!P7/(Viagens!G6/60)*(1+Parametros!$B$37),0)</x:f>
        <x:v>95.203278668361</x:v>
      </x:c>
      <x:c r="G7" s="164" t="n">
        <x:f>IF(E7&gt;0,MAX(0,MIN(0.99,1-K7/E7)),0)</x:f>
        <x:v>0.5921698900528047</x:v>
      </x:c>
      <x:c r="H7" s="27" t="str">
        <x:f>"DESATIVAR"</x:f>
        <x:v>DESATIVAR</x:v>
      </x:c>
      <x:c r="I7" s="156" t="n">
        <x:f>Parametros!$B$18</x:f>
        <x:v>2</x:v>
      </x:c>
      <x:c r="J7" s="156" t="n">
        <x:f>Parametros!$B$19</x:f>
        <x:v>8</x:v>
      </x:c>
      <x:c r="K7" s="131" t="n">
        <x:f>IF(Resultados!F7*(Viagens!H6+Viagens!I6)&gt;0,Custos!O7/(Resultados!F7*(Viagens!H6+Viagens!I6)),0)</x:f>
        <x:v>2.7453267196622013</x:v>
      </x:c>
      <x:c r="L7" s="131" t="n">
        <x:f>Resultados!P7</x:f>
        <x:v>21.156284148524666</x:v>
      </x:c>
      <x:c r="M7" s="156" t="n">
        <x:f>Resultados!E7</x:f>
        <x:v>3.1579200000000003</x:v>
      </x:c>
      <x:c r="N7" s="27" t="str">
        <x:f>"RECUSAR destinos fora do núcleo; sem geocerca assegurada"</x:f>
        <x:v>RECUSAR destinos fora do núcleo; sem geocerca assegurada</x:v>
      </x:c>
    </x:row>
    <x:row r="8" ht="23" customHeight="1">
      <x:c r="A8" s="27" t="str">
        <x:f>Resultados!A8</x:f>
        <x:v>Otimista</x:v>
      </x:c>
      <x:c r="B8" s="27" t="n">
        <x:f>Resultados!B8</x:f>
        <x:v>6</x:v>
      </x:c>
      <x:c r="C8" s="27" t="str">
        <x:f>Resultados!C8</x:f>
        <x:v>15% SM</x:v>
      </x:c>
      <x:c r="D8" s="160" t="n">
        <x:f>Parametros!$B$16</x:f>
        <x:v>4.8</x:v>
      </x:c>
      <x:c r="E8" s="142" t="n">
        <x:f>IF(Viagens!H6+Viagens!I6&gt;0,Resultados!P8/(Viagens!H6+Viagens!I6)*(1+Parametros!$B$37),0)</x:f>
        <x:v>1.9720187324065326</x:v>
      </x:c>
      <x:c r="F8" s="142" t="n">
        <x:f>IF(Viagens!G6&gt;0,Resultados!P8/(Viagens!G6/60)*(1+Parametros!$B$37),0)</x:f>
        <x:v>27.889979215463814</x:v>
      </x:c>
      <x:c r="G8" s="164" t="n">
        <x:f>IF(E8&gt;0,MAX(0,MIN(0.99,1-K8/E8)),0)</x:f>
        <x:v>0.23498772164622783</x:v>
      </x:c>
      <x:c r="H8" s="27" t="str">
        <x:f>"DESATIVAR"</x:f>
        <x:v>DESATIVAR</x:v>
      </x:c>
      <x:c r="I8" s="156" t="n">
        <x:f>Parametros!$B$18</x:f>
        <x:v>2</x:v>
      </x:c>
      <x:c r="J8" s="156" t="n">
        <x:f>Parametros!$B$19</x:f>
        <x:v>8</x:v>
      </x:c>
      <x:c r="K8" s="131" t="n">
        <x:f>IF(Resultados!F8*(Viagens!H6+Viagens!I6)&gt;0,Custos!O8/(Resultados!F8*(Viagens!H6+Viagens!I6)),0)</x:f>
        <x:v>1.5086185434346393</x:v>
      </x:c>
      <x:c r="L8" s="131" t="n">
        <x:f>Resultados!P8</x:f>
        <x:v>6.197773158991959</x:v>
      </x:c>
      <x:c r="M8" s="156" t="n">
        <x:f>Resultados!E8</x:f>
        <x:v>3.942857142857143</x:v>
      </x:c>
      <x:c r="N8" s="27" t="str">
        <x:f>"RECUSAR destinos fora do núcleo; sem geocerca assegurada"</x:f>
        <x:v>RECUSAR destinos fora do núcleo; sem geocerca assegurada</x:v>
      </x:c>
    </x:row>
    <x:row r="9" ht="23" customHeight="1">
      <x:c r="A9" s="27" t="str">
        <x:f>Resultados!A9</x:f>
        <x:v>Otimista</x:v>
      </x:c>
      <x:c r="B9" s="27" t="n">
        <x:f>Resultados!B9</x:f>
        <x:v>6</x:v>
      </x:c>
      <x:c r="C9" s="27" t="str">
        <x:f>Resultados!C9</x:f>
        <x:v>100% SM</x:v>
      </x:c>
      <x:c r="D9" s="160" t="n">
        <x:f>Parametros!$B$16</x:f>
        <x:v>4.8</x:v>
      </x:c>
      <x:c r="E9" s="142" t="n">
        <x:f>IF(Viagens!H6+Viagens!I6&gt;0,Resultados!P9/(Viagens!H6+Viagens!I6)*(1+Parametros!$B$37),0)</x:f>
        <x:v>3.763933635199173</x:v>
      </x:c>
      <x:c r="F9" s="142" t="n">
        <x:f>IF(Viagens!G6&gt;0,Resultados!P9/(Viagens!G6/60)*(1+Parametros!$B$37),0)</x:f>
        <x:v>53.23277569781688</x:v>
      </x:c>
      <x:c r="G9" s="164" t="n">
        <x:f>IF(E9&gt;0,MAX(0,MIN(0.99,1-K9/E9)),0)</x:f>
        <x:v>0.5446401244861634</x:v>
      </x:c>
      <x:c r="H9" s="27" t="str">
        <x:f>"DESATIVAR"</x:f>
        <x:v>DESATIVAR</x:v>
      </x:c>
      <x:c r="I9" s="156" t="n">
        <x:f>Parametros!$B$18</x:f>
        <x:v>2</x:v>
      </x:c>
      <x:c r="J9" s="156" t="n">
        <x:f>Parametros!$B$19</x:f>
        <x:v>8</x:v>
      </x:c>
      <x:c r="K9" s="131" t="n">
        <x:f>IF(Resultados!F9*(Viagens!H6+Viagens!I6)&gt;0,Custos!O9/(Resultados!F9*(Viagens!H6+Viagens!I6)),0)</x:f>
        <x:v>1.7139443515666377</x:v>
      </x:c>
      <x:c r="L9" s="131" t="n">
        <x:f>Resultados!P9</x:f>
        <x:v>11.829505710625972</x:v>
      </x:c>
      <x:c r="M9" s="156" t="n">
        <x:f>Resultados!E9</x:f>
        <x:v>3.1579200000000003</x:v>
      </x:c>
      <x:c r="N9" s="27" t="str">
        <x:f>"RECUSAR destinos fora do núcleo; sem geocerca assegurada"</x:f>
        <x:v>RECUSAR destinos fora do núcleo; sem geocerca assegurada</x:v>
      </x:c>
    </x:row>
    <x:row r="10" ht="23" customHeight="1">
      <x:c r="A10" s="27" t="str">
        <x:f>Resultados!A10</x:f>
        <x:v>Otimista</x:v>
      </x:c>
      <x:c r="B10" s="27" t="n">
        <x:f>Resultados!B10</x:f>
        <x:v>8</x:v>
      </x:c>
      <x:c r="C10" s="27" t="str">
        <x:f>Resultados!C10</x:f>
        <x:v>15% SM</x:v>
      </x:c>
      <x:c r="D10" s="160" t="n">
        <x:f>Parametros!$B$16</x:f>
        <x:v>4.8</x:v>
      </x:c>
      <x:c r="E10" s="142" t="n">
        <x:f>IF(Viagens!H6+Viagens!I6&gt;0,Resultados!P10/(Viagens!H6+Viagens!I6)*(1+Parametros!$B$37),0)</x:f>
        <x:v>1.6780946278172957</x:v>
      </x:c>
      <x:c r="F10" s="142" t="n">
        <x:f>IF(Viagens!G6&gt;0,Resultados!P10/(Viagens!G6/60)*(1+Parametros!$B$37),0)</x:f>
        <x:v>23.733052593416037</x:v>
      </x:c>
      <x:c r="G10" s="164" t="n">
        <x:f>IF(E10&gt;0,MAX(0,MIN(0.99,1-K10/E10)),0)</x:f>
        <x:v>0.2240578201853849</x:v>
      </x:c>
      <x:c r="H10" s="27" t="str">
        <x:f>"DESATIVAR"</x:f>
        <x:v>DESATIVAR</x:v>
      </x:c>
      <x:c r="I10" s="156" t="n">
        <x:f>Parametros!$B$18</x:f>
        <x:v>2</x:v>
      </x:c>
      <x:c r="J10" s="156" t="n">
        <x:f>Parametros!$B$19</x:f>
        <x:v>8</x:v>
      </x:c>
      <x:c r="K10" s="131" t="n">
        <x:f>IF(Resultados!F10*(Viagens!H6+Viagens!I6)&gt;0,Custos!O10/(Resultados!F10*(Viagens!H6+Viagens!I6)),0)</x:f>
        <x:v>1.3021044034437477</x:v>
      </x:c>
      <x:c r="L10" s="131" t="n">
        <x:f>Resultados!P10</x:f>
        <x:v>5.274011687425786</x:v>
      </x:c>
      <x:c r="M10" s="156" t="n">
        <x:f>Resultados!E10</x:f>
        <x:v>3.942857142857143</x:v>
      </x:c>
      <x:c r="N10" s="27" t="str">
        <x:f>"RECUSAR destinos fora do núcleo; sem geocerca assegurada"</x:f>
        <x:v>RECUSAR destinos fora do núcleo; sem geocerca assegurada</x:v>
      </x:c>
    </x:row>
    <x:row r="11" ht="23" customHeight="1">
      <x:c r="A11" s="27" t="str">
        <x:f>Resultados!A11</x:f>
        <x:v>Otimista</x:v>
      </x:c>
      <x:c r="B11" s="27" t="n">
        <x:f>Resultados!B11</x:f>
        <x:v>8</x:v>
      </x:c>
      <x:c r="C11" s="27" t="str">
        <x:f>Resultados!C11</x:f>
        <x:v>100% SM</x:v>
      </x:c>
      <x:c r="D11" s="160" t="n">
        <x:f>Parametros!$B$16</x:f>
        <x:v>4.8</x:v>
      </x:c>
      <x:c r="E11" s="142" t="n">
        <x:f>IF(Viagens!H6+Viagens!I6&gt;0,Resultados!P11/(Viagens!H6+Viagens!I6)*(1+Parametros!$B$37),0)</x:f>
        <x:v>3.0220308049117754</x:v>
      </x:c>
      <x:c r="F11" s="142" t="n">
        <x:f>IF(Viagens!G6&gt;0,Resultados!P11/(Viagens!G6/60)*(1+Parametros!$B$37),0)</x:f>
        <x:v>42.740149955180826</x:v>
      </x:c>
      <x:c r="G11" s="164" t="n">
        <x:f>IF(E11&gt;0,MAX(0,MIN(0.99,1-K11/E11)),0)</x:f>
        <x:v>0.5181720989818779</x:v>
      </x:c>
      <x:c r="H11" s="27" t="str">
        <x:f>"DESATIVAR"</x:f>
        <x:v>DESATIVAR</x:v>
      </x:c>
      <x:c r="I11" s="156" t="n">
        <x:f>Parametros!$B$18</x:f>
        <x:v>2</x:v>
      </x:c>
      <x:c r="J11" s="156" t="n">
        <x:f>Parametros!$B$19</x:f>
        <x:v>8</x:v>
      </x:c>
      <x:c r="K11" s="131" t="n">
        <x:f>IF(Resultados!F11*(Viagens!H6+Viagens!I6)&gt;0,Custos!O11/(Resultados!F11*(Viagens!H6+Viagens!I6)),0)</x:f>
        <x:v>1.4560987595427468</x:v>
      </x:c>
      <x:c r="L11" s="131" t="n">
        <x:f>Resultados!P11</x:f>
        <x:v>9.497811101151294</x:v>
      </x:c>
      <x:c r="M11" s="156" t="n">
        <x:f>Resultados!E11</x:f>
        <x:v>3.1579200000000003</x:v>
      </x:c>
      <x:c r="N11" s="27" t="str">
        <x:f>"RECUSAR destinos fora do núcleo; sem geocerca assegurada"</x:f>
        <x:v>RECUSAR destinos fora do núcleo; sem geocerca assegurada</x:v>
      </x:c>
    </x:row>
    <x:row r="12" ht="23" customHeight="1">
      <x:c r="A12" s="27" t="str">
        <x:f>Resultados!A12</x:f>
        <x:v>Equilibrado</x:v>
      </x:c>
      <x:c r="B12" s="27" t="n">
        <x:f>Resultados!B12</x:f>
        <x:v>3</x:v>
      </x:c>
      <x:c r="C12" s="27" t="str">
        <x:f>Resultados!C12</x:f>
        <x:v>15% SM</x:v>
      </x:c>
      <x:c r="D12" s="160" t="n">
        <x:f>Parametros!$B$16</x:f>
        <x:v>4.8</x:v>
      </x:c>
      <x:c r="E12" s="142" t="n">
        <x:f>IF(Viagens!H7+Viagens!I7&gt;0,Resultados!P12/(Viagens!H7+Viagens!I7)*(1+Parametros!$B$37),0)</x:f>
        <x:v>3.7043116023895</x:v>
      </x:c>
      <x:c r="F12" s="142" t="n">
        <x:f>IF(Viagens!G7&gt;0,Resultados!P12/(Viagens!G7/60)*(1+Parametros!$B$37),0)</x:f>
        <x:v>47.066547418596</x:v>
      </x:c>
      <x:c r="G12" s="164" t="n">
        <x:f>IF(E12&gt;0,MAX(0,MIN(0.99,1-K12/E12)),0)</x:f>
        <x:v>0.2530491651770641</x:v>
      </x:c>
      <x:c r="H12" s="27" t="str">
        <x:f>"DESATIVAR"</x:f>
        <x:v>DESATIVAR</x:v>
      </x:c>
      <x:c r="I12" s="156" t="n">
        <x:f>Parametros!$B$18</x:f>
        <x:v>2</x:v>
      </x:c>
      <x:c r="J12" s="156" t="n">
        <x:f>Parametros!$B$19</x:f>
        <x:v>8</x:v>
      </x:c>
      <x:c r="K12" s="131" t="n">
        <x:f>IF(Resultados!F12*(Viagens!H7+Viagens!I7)&gt;0,Custos!O12/(Resultados!F12*(Viagens!H7+Viagens!I7)),0)</x:f>
        <x:v>2.7669386438491244</x:v>
      </x:c>
      <x:c r="L12" s="131" t="n">
        <x:f>Resultados!P12</x:f>
        <x:v>12.700496922478285</x:v>
      </x:c>
      <x:c r="M12" s="156" t="n">
        <x:f>Resultados!E12</x:f>
        <x:v>3.2174339999999995</x:v>
      </x:c>
      <x:c r="N12" s="27" t="str">
        <x:f>"RECUSAR destinos fora do núcleo; sem geocerca assegurada"</x:f>
        <x:v>RECUSAR destinos fora do núcleo; sem geocerca assegurada</x:v>
      </x:c>
    </x:row>
    <x:row r="13" ht="23" customHeight="1">
      <x:c r="A13" s="27" t="str">
        <x:f>Resultados!A13</x:f>
        <x:v>Equilibrado</x:v>
      </x:c>
      <x:c r="B13" s="27" t="n">
        <x:f>Resultados!B13</x:f>
        <x:v>3</x:v>
      </x:c>
      <x:c r="C13" s="27" t="str">
        <x:f>Resultados!C13</x:f>
        <x:v>100% SM</x:v>
      </x:c>
      <x:c r="D13" s="160" t="n">
        <x:f>Parametros!$B$16</x:f>
        <x:v>4.8</x:v>
      </x:c>
      <x:c r="E13" s="142" t="n">
        <x:f>IF(Viagens!H7+Viagens!I7&gt;0,Resultados!P13/(Viagens!H7+Viagens!I7)*(1+Parametros!$B$37),0)</x:f>
        <x:v>8.125447255594244</x:v>
      </x:c>
      <x:c r="F13" s="142" t="n">
        <x:f>IF(Viagens!G7&gt;0,Resultados!P13/(Viagens!G7/60)*(1+Parametros!$B$37),0)</x:f>
        <x:v>103.2409768946092</x:v>
      </x:c>
      <x:c r="G13" s="164" t="n">
        <x:f>IF(E13&gt;0,MAX(0,MIN(0.99,1-K13/E13)),0)</x:f>
        <x:v>0.5857934635416961</x:v>
      </x:c>
      <x:c r="H13" s="27" t="str">
        <x:f>"DESATIVAR"</x:f>
        <x:v>DESATIVAR</x:v>
      </x:c>
      <x:c r="I13" s="156" t="n">
        <x:f>Parametros!$B$18</x:f>
        <x:v>2</x:v>
      </x:c>
      <x:c r="J13" s="156" t="n">
        <x:f>Parametros!$B$19</x:f>
        <x:v>8</x:v>
      </x:c>
      <x:c r="K13" s="131" t="n">
        <x:f>IF(Resultados!F13*(Viagens!H7+Viagens!I7)&gt;0,Custos!O13/(Resultados!F13*(Viagens!H7+Viagens!I7)),0)</x:f>
        <x:v>3.3656133649143225</x:v>
      </x:c>
      <x:c r="L13" s="131" t="n">
        <x:f>Resultados!P13</x:f>
        <x:v>27.858676304894548</x:v>
      </x:c>
      <x:c r="M13" s="156" t="n">
        <x:f>Resultados!E13</x:f>
        <x:v>2.4326939999999997</x:v>
      </x:c>
      <x:c r="N13" s="27" t="str">
        <x:f>"RECUSAR destinos fora do núcleo; sem geocerca assegurada"</x:f>
        <x:v>RECUSAR destinos fora do núcleo; sem geocerca assegurada</x:v>
      </x:c>
    </x:row>
    <x:row r="14" ht="23" customHeight="1">
      <x:c r="A14" s="27" t="str">
        <x:f>Resultados!A14</x:f>
        <x:v>Equilibrado</x:v>
      </x:c>
      <x:c r="B14" s="27" t="n">
        <x:f>Resultados!B14</x:f>
        <x:v>6</x:v>
      </x:c>
      <x:c r="C14" s="27" t="str">
        <x:f>Resultados!C14</x:f>
        <x:v>15% SM</x:v>
      </x:c>
      <x:c r="D14" s="160" t="n">
        <x:f>Parametros!$B$16</x:f>
        <x:v>4.8</x:v>
      </x:c>
      <x:c r="E14" s="142" t="n">
        <x:f>IF(Viagens!H7+Viagens!I7&gt;0,Resultados!P14/(Viagens!H7+Viagens!I7)*(1+Parametros!$B$37),0)</x:f>
        <x:v>2.3835998895138384</x:v>
      </x:c>
      <x:c r="F14" s="142" t="n">
        <x:f>IF(Viagens!G7&gt;0,Resultados!P14/(Viagens!G7/60)*(1+Parametros!$B$37),0)</x:f>
        <x:v>30.28573977264642</x:v>
      </x:c>
      <x:c r="G14" s="164" t="n">
        <x:f>IF(E14&gt;0,MAX(0,MIN(0.99,1-K14/E14)),0)</x:f>
        <x:v>0.22848090642714802</x:v>
      </x:c>
      <x:c r="H14" s="27" t="str">
        <x:f>"DESATIVAR"</x:f>
        <x:v>DESATIVAR</x:v>
      </x:c>
      <x:c r="I14" s="156" t="n">
        <x:f>Parametros!$B$18</x:f>
        <x:v>2</x:v>
      </x:c>
      <x:c r="J14" s="156" t="n">
        <x:f>Parametros!$B$19</x:f>
        <x:v>8</x:v>
      </x:c>
      <x:c r="K14" s="131" t="n">
        <x:f>IF(Resultados!F14*(Viagens!H7+Viagens!I7)&gt;0,Custos!O14/(Resultados!F14*(Viagens!H7+Viagens!I7)),0)</x:f>
        <x:v>1.8389928261980666</x:v>
      </x:c>
      <x:c r="L14" s="131" t="n">
        <x:f>Resultados!P14</x:f>
        <x:v>8.17234247833316</x:v>
      </x:c>
      <x:c r="M14" s="156" t="n">
        <x:f>Resultados!E14</x:f>
        <x:v>3.2174339999999995</x:v>
      </x:c>
      <x:c r="N14" s="27" t="str">
        <x:f>"RECUSAR destinos fora do núcleo; sem geocerca assegurada"</x:f>
        <x:v>RECUSAR destinos fora do núcleo; sem geocerca assegurada</x:v>
      </x:c>
    </x:row>
    <x:row r="15" ht="23" customHeight="1">
      <x:c r="A15" s="27" t="str">
        <x:f>Resultados!A15</x:f>
        <x:v>Equilibrado</x:v>
      </x:c>
      <x:c r="B15" s="27" t="n">
        <x:f>Resultados!B15</x:f>
        <x:v>6</x:v>
      </x:c>
      <x:c r="C15" s="27" t="str">
        <x:f>Resultados!C15</x:f>
        <x:v>100% SM</x:v>
      </x:c>
      <x:c r="D15" s="160" t="n">
        <x:f>Parametros!$B$16</x:f>
        <x:v>4.8</x:v>
      </x:c>
      <x:c r="E15" s="142" t="n">
        <x:f>IF(Viagens!H7+Viagens!I7&gt;0,Resultados!P15/(Viagens!H7+Viagens!I7)*(1+Parametros!$B$37),0)</x:f>
        <x:v>4.59416771611621</x:v>
      </x:c>
      <x:c r="F15" s="142" t="n">
        <x:f>IF(Viagens!G7&gt;0,Resultados!P15/(Viagens!G7/60)*(1+Parametros!$B$37),0)</x:f>
        <x:v>58.37295451065303</x:v>
      </x:c>
      <x:c r="G15" s="164" t="n">
        <x:f>IF(E15&gt;0,MAX(0,MIN(0.99,1-K15/E15)),0)</x:f>
        <x:v>0.5345554801516141</x:v>
      </x:c>
      <x:c r="H15" s="27" t="str">
        <x:f>"DESATIVAR"</x:f>
        <x:v>DESATIVAR</x:v>
      </x:c>
      <x:c r="I15" s="156" t="n">
        <x:f>Parametros!$B$18</x:f>
        <x:v>2</x:v>
      </x:c>
      <x:c r="J15" s="156" t="n">
        <x:f>Parametros!$B$19</x:f>
        <x:v>8</x:v>
      </x:c>
      <x:c r="K15" s="131" t="n">
        <x:f>IF(Resultados!F15*(Viagens!H7+Viagens!I7)&gt;0,Custos!O15/(Resultados!F15*(Viagens!H7+Viagens!I7)),0)</x:f>
        <x:v>2.1383301867306654</x:v>
      </x:c>
      <x:c r="L15" s="131" t="n">
        <x:f>Resultados!P15</x:f>
        <x:v>15.751432169541294</x:v>
      </x:c>
      <x:c r="M15" s="156" t="n">
        <x:f>Resultados!E15</x:f>
        <x:v>2.4326939999999997</x:v>
      </x:c>
      <x:c r="N15" s="27" t="str">
        <x:f>"RECUSAR destinos fora do núcleo; sem geocerca assegurada"</x:f>
        <x:v>RECUSAR destinos fora do núcleo; sem geocerca assegurada</x:v>
      </x:c>
    </x:row>
    <x:row r="16" ht="23" customHeight="1">
      <x:c r="A16" s="27" t="str">
        <x:f>Resultados!A16</x:f>
        <x:v>Equilibrado</x:v>
      </x:c>
      <x:c r="B16" s="27" t="n">
        <x:f>Resultados!B16</x:f>
        <x:v>8</x:v>
      </x:c>
      <x:c r="C16" s="27" t="str">
        <x:f>Resultados!C16</x:f>
        <x:v>15% SM</x:v>
      </x:c>
      <x:c r="D16" s="160" t="n">
        <x:f>Parametros!$B$16</x:f>
        <x:v>4.8</x:v>
      </x:c>
      <x:c r="E16" s="142" t="n">
        <x:f>IF(Viagens!H7+Viagens!I7&gt;0,Resultados!P16/(Viagens!H7+Viagens!I7)*(1+Parametros!$B$37),0)</x:f>
        <x:v>2.053421961294922</x:v>
      </x:c>
      <x:c r="F16" s="142" t="n">
        <x:f>IF(Viagens!G7&gt;0,Resultados!P16/(Viagens!G7/60)*(1+Parametros!$B$37),0)</x:f>
        <x:v>26.09053786115901</x:v>
      </x:c>
      <x:c r="G16" s="164" t="n">
        <x:f>IF(E16&gt;0,MAX(0,MIN(0.99,1-K16/E16)),0)</x:f>
        <x:v>0.21740080603214307</x:v>
      </x:c>
      <x:c r="H16" s="27" t="str">
        <x:f>"DESATIVAR"</x:f>
        <x:v>DESATIVAR</x:v>
      </x:c>
      <x:c r="I16" s="156" t="n">
        <x:f>Parametros!$B$18</x:f>
        <x:v>2</x:v>
      </x:c>
      <x:c r="J16" s="156" t="n">
        <x:f>Parametros!$B$19</x:f>
        <x:v>8</x:v>
      </x:c>
      <x:c r="K16" s="131" t="n">
        <x:f>IF(Resultados!F16*(Viagens!H7+Viagens!I7)&gt;0,Custos!O16/(Resultados!F16*(Viagens!H7+Viagens!I7)),0)</x:f>
        <x:v>1.6070063717853018</x:v>
      </x:c>
      <x:c r="L16" s="131" t="n">
        <x:f>Resultados!P16</x:f>
        <x:v>7.040303867296876</x:v>
      </x:c>
      <x:c r="M16" s="156" t="n">
        <x:f>Resultados!E16</x:f>
        <x:v>3.2174339999999995</x:v>
      </x:c>
      <x:c r="N16" s="27" t="str">
        <x:f>"RECUSAR destinos fora do núcleo; sem geocerca assegurada"</x:f>
        <x:v>RECUSAR destinos fora do núcleo; sem geocerca assegurada</x:v>
      </x:c>
    </x:row>
    <x:row r="17" ht="23" customHeight="1">
      <x:c r="A17" s="27" t="str">
        <x:f>Resultados!A17</x:f>
        <x:v>Equilibrado</x:v>
      </x:c>
      <x:c r="B17" s="27" t="n">
        <x:f>Resultados!B17</x:f>
        <x:v>8</x:v>
      </x:c>
      <x:c r="C17" s="27" t="str">
        <x:f>Resultados!C17</x:f>
        <x:v>100% SM</x:v>
      </x:c>
      <x:c r="D17" s="160" t="n">
        <x:f>Parametros!$B$16</x:f>
        <x:v>4.8</x:v>
      </x:c>
      <x:c r="E17" s="142" t="n">
        <x:f>IF(Viagens!H7+Viagens!I7&gt;0,Resultados!P17/(Viagens!H7+Viagens!I7)*(1+Parametros!$B$37),0)</x:f>
        <x:v>3.7113478312467016</x:v>
      </x:c>
      <x:c r="F17" s="142" t="n">
        <x:f>IF(Viagens!G7&gt;0,Resultados!P17/(Viagens!G7/60)*(1+Parametros!$B$37),0)</x:f>
        <x:v>47.15594891466397</x:v>
      </x:c>
      <x:c r="G17" s="164" t="n">
        <x:f>IF(E17&gt;0,MAX(0,MIN(0.99,1-K17/E17)),0)</x:f>
        <x:v>0.5065109832161656</x:v>
      </x:c>
      <x:c r="H17" s="27" t="str">
        <x:f>"DESATIVAR"</x:f>
        <x:v>DESATIVAR</x:v>
      </x:c>
      <x:c r="I17" s="156" t="n">
        <x:f>Parametros!$B$18</x:f>
        <x:v>2</x:v>
      </x:c>
      <x:c r="J17" s="156" t="n">
        <x:f>Parametros!$B$19</x:f>
        <x:v>8</x:v>
      </x:c>
      <x:c r="K17" s="131" t="n">
        <x:f>IF(Resultados!F17*(Viagens!H7+Viagens!I7)&gt;0,Custos!O17/(Resultados!F17*(Viagens!H7+Viagens!I7)),0)</x:f>
        <x:v>1.8315093921847507</x:v>
      </x:c>
      <x:c r="L17" s="131" t="n">
        <x:f>Resultados!P17</x:f>
        <x:v>12.724621135702977</x:v>
      </x:c>
      <x:c r="M17" s="156" t="n">
        <x:f>Resultados!E17</x:f>
        <x:v>2.4326939999999997</x:v>
      </x:c>
      <x:c r="N17" s="27" t="str">
        <x:f>"RECUSAR destinos fora do núcleo; sem geocerca assegurada"</x:f>
        <x:v>RECUSAR destinos fora do núcleo; sem geocerca assegurada</x:v>
      </x:c>
    </x:row>
    <x:row r="18" ht="23" customHeight="1">
      <x:c r="A18" s="27" t="str">
        <x:f>Resultados!A18</x:f>
        <x:v>Pessimista</x:v>
      </x:c>
      <x:c r="B18" s="27" t="n">
        <x:f>Resultados!B18</x:f>
        <x:v>3</x:v>
      </x:c>
      <x:c r="C18" s="27" t="str">
        <x:f>Resultados!C18</x:f>
        <x:v>15% SM</x:v>
      </x:c>
      <x:c r="D18" s="160" t="n">
        <x:f>Parametros!$B$16</x:f>
        <x:v>4.8</x:v>
      </x:c>
      <x:c r="E18" s="142" t="n">
        <x:f>IF(Viagens!H8+Viagens!I8&gt;0,Resultados!P18/(Viagens!H8+Viagens!I8)*(1+Parametros!$B$37),0)</x:f>
        <x:v>5.356039635125325</x:v>
      </x:c>
      <x:c r="F18" s="142" t="n">
        <x:f>IF(Viagens!G8&gt;0,Resultados!P18/(Viagens!G8/60)*(1+Parametros!$B$37),0)</x:f>
        <x:v>64.27247562150389</x:v>
      </x:c>
      <x:c r="G18" s="164" t="n">
        <x:f>IF(E18&gt;0,MAX(0,MIN(0.99,1-K18/E18)),0)</x:f>
        <x:v>0.25393279795037826</x:v>
      </x:c>
      <x:c r="H18" s="27" t="str">
        <x:f>"DESATIVAR"</x:f>
        <x:v>DESATIVAR</x:v>
      </x:c>
      <x:c r="I18" s="156" t="n">
        <x:f>Parametros!$B$18</x:f>
        <x:v>2</x:v>
      </x:c>
      <x:c r="J18" s="156" t="n">
        <x:f>Parametros!$B$19</x:f>
        <x:v>8</x:v>
      </x:c>
      <x:c r="K18" s="131" t="n">
        <x:f>IF(Resultados!F18*(Viagens!H8+Viagens!I8)&gt;0,Custos!O18/(Resultados!F18*(Viagens!H8+Viagens!I8)),0)</x:f>
        <x:v>3.9959655046448277</x:v>
      </x:c>
      <x:c r="L18" s="131" t="n">
        <x:f>Resultados!P18</x:f>
        <x:v>21.424158540501296</x:v>
      </x:c>
      <x:c r="M18" s="156" t="n">
        <x:f>Resultados!E18</x:f>
        <x:v>1.89216</x:v>
      </x:c>
      <x:c r="N18" s="27" t="str">
        <x:f>"RECUSAR destinos fora do núcleo; sem geocerca assegurada"</x:f>
        <x:v>RECUSAR destinos fora do núcleo; sem geocerca assegurada</x:v>
      </x:c>
    </x:row>
    <x:row r="19" ht="23" customHeight="1">
      <x:c r="A19" s="27" t="str">
        <x:f>Resultados!A19</x:f>
        <x:v>Pessimista</x:v>
      </x:c>
      <x:c r="B19" s="27" t="n">
        <x:f>Resultados!B19</x:f>
        <x:v>3</x:v>
      </x:c>
      <x:c r="C19" s="27" t="str">
        <x:f>Resultados!C19</x:f>
        <x:v>100% SM</x:v>
      </x:c>
      <x:c r="D19" s="160" t="n">
        <x:f>Parametros!$B$16</x:f>
        <x:v>4.8</x:v>
      </x:c>
      <x:c r="E19" s="142" t="n">
        <x:f>IF(Viagens!H8+Viagens!I8&gt;0,Resultados!P19/(Viagens!H8+Viagens!I8)*(1+Parametros!$B$37),0)</x:f>
        <x:v>12.869321644703163</x:v>
      </x:c>
      <x:c r="F19" s="142" t="n">
        <x:f>IF(Viagens!G8&gt;0,Resultados!P19/(Viagens!G8/60)*(1+Parametros!$B$37),0)</x:f>
        <x:v>154.43185973643793</x:v>
      </x:c>
      <x:c r="G19" s="164" t="n">
        <x:f>IF(E19&gt;0,MAX(0,MIN(0.99,1-K19/E19)),0)</x:f>
        <x:v>0.5928116503276252</x:v>
      </x:c>
      <x:c r="H19" s="27" t="str">
        <x:f>"DESATIVAR"</x:f>
        <x:v>DESATIVAR</x:v>
      </x:c>
      <x:c r="I19" s="156" t="n">
        <x:f>Parametros!$B$18</x:f>
        <x:v>2</x:v>
      </x:c>
      <x:c r="J19" s="156" t="n">
        <x:f>Parametros!$B$19</x:f>
        <x:v>8</x:v>
      </x:c>
      <x:c r="K19" s="131" t="n">
        <x:f>IF(Resultados!F19*(Viagens!H8+Viagens!I8)&gt;0,Custos!O19/(Resultados!F19*(Viagens!H8+Viagens!I8)),0)</x:f>
        <x:v>5.240237841909654</x:v>
      </x:c>
      <x:c r="L19" s="131" t="n">
        <x:f>Resultados!P19</x:f>
        <x:v>51.47728657881264</x:v>
      </x:c>
      <x:c r="M19" s="156" t="n">
        <x:f>Resultados!E19</x:f>
        <x:v>1.296</x:v>
      </x:c>
      <x:c r="N19" s="27" t="str">
        <x:f>"RECUSAR destinos fora do núcleo; sem geocerca assegurada"</x:f>
        <x:v>RECUSAR destinos fora do núcleo; sem geocerca assegurada</x:v>
      </x:c>
    </x:row>
    <x:row r="20" ht="23" customHeight="1">
      <x:c r="A20" s="27" t="str">
        <x:f>Resultados!A20</x:f>
        <x:v>Pessimista</x:v>
      </x:c>
      <x:c r="B20" s="27" t="n">
        <x:f>Resultados!B20</x:f>
        <x:v>6</x:v>
      </x:c>
      <x:c r="C20" s="27" t="str">
        <x:f>Resultados!C20</x:f>
        <x:v>15% SM</x:v>
      </x:c>
      <x:c r="D20" s="160" t="n">
        <x:f>Parametros!$B$16</x:f>
        <x:v>4.8</x:v>
      </x:c>
      <x:c r="E20" s="142" t="n">
        <x:f>IF(Viagens!H8+Viagens!I8&gt;0,Resultados!P20/(Viagens!H8+Viagens!I8)*(1+Parametros!$B$37),0)</x:f>
        <x:v>3.431118108160953</x:v>
      </x:c>
      <x:c r="F20" s="142" t="n">
        <x:f>IF(Viagens!G8&gt;0,Resultados!P20/(Viagens!G8/60)*(1+Parametros!$B$37),0)</x:f>
        <x:v>41.17341729793144</x:v>
      </x:c>
      <x:c r="G20" s="164" t="n">
        <x:f>IF(E20&gt;0,MAX(0,MIN(0.99,1-K20/E20)),0)</x:f>
        <x:v>0.22955273193666803</x:v>
      </x:c>
      <x:c r="H20" s="27" t="str">
        <x:f>"DESATIVAR"</x:f>
        <x:v>DESATIVAR</x:v>
      </x:c>
      <x:c r="I20" s="156" t="n">
        <x:f>Parametros!$B$18</x:f>
        <x:v>2</x:v>
      </x:c>
      <x:c r="J20" s="156" t="n">
        <x:f>Parametros!$B$19</x:f>
        <x:v>8</x:v>
      </x:c>
      <x:c r="K20" s="131" t="n">
        <x:f>IF(Resultados!F20*(Viagens!H8+Viagens!I8)&gt;0,Custos!O20/(Resultados!F20*(Viagens!H8+Viagens!I8)),0)</x:f>
        <x:v>2.6434955728352345</x:v>
      </x:c>
      <x:c r="L20" s="131" t="n">
        <x:f>Resultados!P20</x:f>
        <x:v>13.724472432643811</x:v>
      </x:c>
      <x:c r="M20" s="156" t="n">
        <x:f>Resultados!E20</x:f>
        <x:v>1.89216</x:v>
      </x:c>
      <x:c r="N20" s="27" t="str">
        <x:f>"RECUSAR destinos fora do núcleo; sem geocerca assegurada"</x:f>
        <x:v>RECUSAR destinos fora do núcleo; sem geocerca assegurada</x:v>
      </x:c>
    </x:row>
    <x:row r="21" ht="23" customHeight="1">
      <x:c r="A21" s="27" t="str">
        <x:f>Resultados!A21</x:f>
        <x:v>Pessimista</x:v>
      </x:c>
      <x:c r="B21" s="27" t="n">
        <x:f>Resultados!B21</x:f>
        <x:v>6</x:v>
      </x:c>
      <x:c r="C21" s="27" t="str">
        <x:f>Resultados!C21</x:f>
        <x:v>100% SM</x:v>
      </x:c>
      <x:c r="D21" s="160" t="n">
        <x:f>Parametros!$B$16</x:f>
        <x:v>4.8</x:v>
      </x:c>
      <x:c r="E21" s="142" t="n">
        <x:f>IF(Viagens!H8+Viagens!I8&gt;0,Resultados!P21/(Viagens!H8+Viagens!I8)*(1+Parametros!$B$37),0)</x:f>
        <x:v>7.1877591129498715</x:v>
      </x:c>
      <x:c r="F21" s="142" t="n">
        <x:f>IF(Viagens!G8&gt;0,Resultados!P21/(Viagens!G8/60)*(1+Parametros!$B$37),0)</x:f>
        <x:v>86.25310935539846</x:v>
      </x:c>
      <x:c r="G21" s="164" t="n">
        <x:f>IF(E21&gt;0,MAX(0,MIN(0.99,1-K21/E21)),0)</x:f>
        <x:v>0.5456676148781752</x:v>
      </x:c>
      <x:c r="H21" s="27" t="str">
        <x:f>"DESATIVAR"</x:f>
        <x:v>DESATIVAR</x:v>
      </x:c>
      <x:c r="I21" s="156" t="n">
        <x:f>Parametros!$B$18</x:f>
        <x:v>2</x:v>
      </x:c>
      <x:c r="J21" s="156" t="n">
        <x:f>Parametros!$B$19</x:f>
        <x:v>8</x:v>
      </x:c>
      <x:c r="K21" s="131" t="n">
        <x:f>IF(Resultados!F21*(Viagens!H8+Viagens!I8)&gt;0,Custos!O21/(Resultados!F21*(Viagens!H8+Viagens!I8)),0)</x:f>
        <x:v>3.2656317414676472</x:v>
      </x:c>
      <x:c r="L21" s="131" t="n">
        <x:f>Resultados!P21</x:f>
        <x:v>28.751036451799482</x:v>
      </x:c>
      <x:c r="M21" s="156" t="n">
        <x:f>Resultados!E21</x:f>
        <x:v>1.296</x:v>
      </x:c>
      <x:c r="N21" s="27" t="str">
        <x:f>"RECUSAR destinos fora do núcleo; sem geocerca assegurada"</x:f>
        <x:v>RECUSAR destinos fora do núcleo; sem geocerca assegurada</x:v>
      </x:c>
    </x:row>
    <x:row r="22" ht="23" customHeight="1">
      <x:c r="A22" s="27" t="str">
        <x:f>Resultados!A22</x:f>
        <x:v>Pessimista</x:v>
      </x:c>
      <x:c r="B22" s="27" t="n">
        <x:f>Resultados!B22</x:f>
        <x:v>8</x:v>
      </x:c>
      <x:c r="C22" s="27" t="str">
        <x:f>Resultados!C22</x:f>
        <x:v>15% SM</x:v>
      </x:c>
      <x:c r="D22" s="160" t="n">
        <x:f>Parametros!$B$16</x:f>
        <x:v>4.8</x:v>
      </x:c>
      <x:c r="E22" s="142" t="n">
        <x:f>IF(Viagens!H8+Viagens!I8&gt;0,Resultados!P22/(Viagens!H8+Viagens!I8)*(1+Parametros!$B$37),0)</x:f>
        <x:v>2.94988772641986</x:v>
      </x:c>
      <x:c r="F22" s="142" t="n">
        <x:f>IF(Viagens!G8&gt;0,Resultados!P22/(Viagens!G8/60)*(1+Parametros!$B$37),0)</x:f>
        <x:v>35.398652717038324</x:v>
      </x:c>
      <x:c r="G22" s="164" t="n">
        <x:f>IF(E22&gt;0,MAX(0,MIN(0.99,1-K22/E22)),0)</x:f>
        <x:v>0.21848615822380302</x:v>
      </x:c>
      <x:c r="H22" s="27" t="str">
        <x:f>"DESATIVAR"</x:f>
        <x:v>DESATIVAR</x:v>
      </x:c>
      <x:c r="I22" s="156" t="n">
        <x:f>Parametros!$B$18</x:f>
        <x:v>2</x:v>
      </x:c>
      <x:c r="J22" s="156" t="n">
        <x:f>Parametros!$B$19</x:f>
        <x:v>8</x:v>
      </x:c>
      <x:c r="K22" s="131" t="n">
        <x:f>IF(Resultados!F22*(Viagens!H8+Viagens!I8)&gt;0,Custos!O22/(Resultados!F22*(Viagens!H8+Viagens!I8)),0)</x:f>
        <x:v>2.305378089882836</x:v>
      </x:c>
      <x:c r="L22" s="131" t="n">
        <x:f>Resultados!P22</x:f>
        <x:v>11.799550905679439</x:v>
      </x:c>
      <x:c r="M22" s="156" t="n">
        <x:f>Resultados!E22</x:f>
        <x:v>1.89216</x:v>
      </x:c>
      <x:c r="N22" s="27" t="str">
        <x:f>"RECUSAR destinos fora do núcleo; sem geocerca assegurada"</x:f>
        <x:v>RECUSAR destinos fora do núcleo; sem geocerca assegurada</x:v>
      </x:c>
    </x:row>
    <x:row r="23" ht="23" customHeight="1">
      <x:c r="A23" s="27" t="str">
        <x:f>Resultados!A23</x:f>
        <x:v>Pessimista</x:v>
      </x:c>
      <x:c r="B23" s="27" t="n">
        <x:f>Resultados!B23</x:f>
        <x:v>8</x:v>
      </x:c>
      <x:c r="C23" s="27" t="str">
        <x:f>Resultados!C23</x:f>
        <x:v>100% SM</x:v>
      </x:c>
      <x:c r="D23" s="160" t="n">
        <x:f>Parametros!$B$16</x:f>
        <x:v>4.8</x:v>
      </x:c>
      <x:c r="E23" s="142" t="n">
        <x:f>IF(Viagens!H8+Viagens!I8&gt;0,Resultados!P23/(Viagens!H8+Viagens!I8)*(1+Parametros!$B$37),0)</x:f>
        <x:v>5.76736848001155</x:v>
      </x:c>
      <x:c r="F23" s="142" t="n">
        <x:f>IF(Viagens!G8&gt;0,Resultados!P23/(Viagens!G8/60)*(1+Parametros!$B$37),0)</x:f>
        <x:v>69.20842176013859</x:v>
      </x:c>
      <x:c r="G23" s="164" t="n">
        <x:f>IF(E23&gt;0,MAX(0,MIN(0.99,1-K23/E23)),0)</x:f>
        <x:v>0.5193682827854282</x:v>
      </x:c>
      <x:c r="H23" s="27" t="str">
        <x:f>"DESATIVAR"</x:f>
        <x:v>DESATIVAR</x:v>
      </x:c>
      <x:c r="I23" s="156" t="n">
        <x:f>Parametros!$B$18</x:f>
        <x:v>2</x:v>
      </x:c>
      <x:c r="J23" s="156" t="n">
        <x:f>Parametros!$B$19</x:f>
        <x:v>8</x:v>
      </x:c>
      <x:c r="K23" s="131" t="n">
        <x:f>IF(Resultados!F23*(Viagens!H8+Viagens!I8)&gt;0,Custos!O23/(Resultados!F23*(Viagens!H8+Viagens!I8)),0)</x:f>
        <x:v>2.7719802163571456</x:v>
      </x:c>
      <x:c r="L23" s="131" t="n">
        <x:f>Resultados!P23</x:f>
        <x:v>23.069473920046192</x:v>
      </x:c>
      <x:c r="M23" s="156" t="n">
        <x:f>Resultados!E23</x:f>
        <x:v>1.296</x:v>
      </x:c>
      <x:c r="N23" s="27" t="str">
        <x:f>"RECUSAR destinos fora do núcleo; sem geocerca assegurada"</x:f>
        <x:v>RECUSAR destinos fora do núcleo; sem geocerca assegurada</x:v>
      </x:c>
    </x:row>
    <x:row r="24" ht="23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17" hidden="0" customWidth="1"/>
    <x:col min="3" max="3" width="20" hidden="0" customWidth="1"/>
    <x:col min="4" max="4" width="67" hidden="0" customWidth="1"/>
    <x:col min="5" max="5" width="72" hidden="0" customWidth="1"/>
    <x:col min="6" max="6" width="16" hidden="0" customWidth="1"/>
  </x:cols>
  <x:sheetData>
    <x:row r="1" ht="33" customHeight="1">
      <x:c r="A1" s="4" t="str">
        <x:v>PARÂMETROS DA OPERAÇÃO | 2026</x:v>
      </x:c>
      <x:c r="B1" s="4"/>
      <x:c r="C1" s="4"/>
      <x:c r="D1" s="4"/>
      <x:c r="E1" s="4"/>
      <x:c r="F1" s="4"/>
    </x:row>
    <x:row r="2" ht="34" customHeight="1">
      <x:c r="A2" s="26" t="str">
        <x:v>Células amarelas são editáveis. Valores pessoais sem comprovante e hipóteses de demanda NÃO são apresentados como fatos observados.</x:v>
      </x:c>
      <x:c r="B2" s="26"/>
      <x:c r="C2" s="26"/>
      <x:c r="D2" s="26"/>
      <x:c r="E2" s="26"/>
      <x:c r="F2" s="26"/>
    </x:row>
    <x:row r="3" ht="23" customHeight="1">
      <x:c r="A3" s="27"/>
      <x:c r="B3" s="27"/>
      <x:c r="C3" s="27"/>
      <x:c r="D3" s="27"/>
      <x:c r="E3" s="27"/>
      <x:c r="F3" s="27"/>
    </x:row>
    <x:row r="4" ht="23" customHeight="1">
      <x:c r="A4" s="27"/>
      <x:c r="B4" s="27"/>
      <x:c r="C4" s="27"/>
      <x:c r="D4" s="27"/>
      <x:c r="E4" s="27"/>
      <x:c r="F4" s="27"/>
    </x:row>
    <x:row r="5" ht="54" customHeight="1">
      <x:c r="A5" s="17" t="str">
        <x:v>Grandeza e unidade</x:v>
      </x:c>
      <x:c r="B5" s="17" t="str">
        <x:v>Valor adotado</x:v>
      </x:c>
      <x:c r="C5" s="17" t="str">
        <x:v>Situação</x:v>
      </x:c>
      <x:c r="D5" s="17" t="str">
        <x:v>O que representa</x:v>
      </x:c>
      <x:c r="E5" s="17" t="str">
        <x:v>Fonte / conferência</x:v>
      </x:c>
      <x:c r="F5" s="17" t="str">
        <x:v>Prioridade</x:v>
      </x:c>
    </x:row>
    <x:row r="6" ht="23" customHeight="1">
      <x:c r="A6" s="27" t="str">
        <x:v>Dias programados de trabalho por semana</x:v>
      </x:c>
      <x:c r="B6" s="34" t="n">
        <x:v>4</x:v>
      </x:c>
      <x:c r="C6" s="27" t="str">
        <x:v>Informado</x:v>
      </x:c>
      <x:c r="D6" s="27" t="str">
        <x:v>Apenas quatro dias trabalhados.</x:v>
      </x:c>
      <x:c r="E6" s="27" t="str">
        <x:v>Informação fornecida pelo usuário</x:v>
      </x:c>
      <x:c r="F6" s="27" t="str">
        <x:v>Confirmado</x:v>
      </x:c>
    </x:row>
    <x:row r="7" ht="23" customHeight="1">
      <x:c r="A7" s="27" t="str">
        <x:v>Dias por mês de planejamento</x:v>
      </x:c>
      <x:c r="B7" s="34" t="n">
        <x:v>30</x:v>
      </x:c>
      <x:c r="C7" s="27" t="str">
        <x:v>Definição</x:v>
      </x:c>
      <x:c r="D7" s="27" t="str">
        <x:v>Mês orçamentário de 30 dias.</x:v>
      </x:c>
      <x:c r="E7" s="27" t="str">
        <x:v>Definição operacional</x:v>
      </x:c>
      <x:c r="F7" s="27" t="str">
        <x:v>Confirmado</x:v>
      </x:c>
    </x:row>
    <x:row r="8" ht="23" customHeight="1">
      <x:c r="A8" s="27" t="str">
        <x:v>Meses no ano de planejamento</x:v>
      </x:c>
      <x:c r="B8" s="34" t="n">
        <x:v>12</x:v>
      </x:c>
      <x:c r="C8" s="27" t="str">
        <x:v>Definição</x:v>
      </x:c>
      <x:c r="D8" s="27" t="str">
        <x:v>Ano orçamentário de 12 meses de 30 dias.</x:v>
      </x:c>
      <x:c r="E8" s="27" t="str">
        <x:v>Definição operacional</x:v>
      </x:c>
      <x:c r="F8" s="27" t="str">
        <x:v>Confirmado</x:v>
      </x:c>
    </x:row>
    <x:row r="9" ht="23" customHeight="1">
      <x:c r="A9" s="27" t="str">
        <x:v>Dias de trabalho programados por mês</x:v>
      </x:c>
      <x:c r="B9" s="27" t="n">
        <x:f>B6*B7/7</x:f>
        <x:v>17.142857142857142</x:v>
      </x:c>
      <x:c r="C9" s="27" t="str">
        <x:v>Calculado</x:v>
      </x:c>
      <x:c r="D9" s="27" t="str">
        <x:v>4 × 30 / 7; não fixar 16.</x:v>
      </x:c>
      <x:c r="E9" s="27" t="str">
        <x:v>Fórmula</x:v>
      </x:c>
      <x:c r="F9" s="27" t="str">
        <x:v>Calculado</x:v>
      </x:c>
    </x:row>
    <x:row r="10" ht="23" customHeight="1">
      <x:c r="A10" s="27" t="str">
        <x:v>Dias não trabalhados previstos por mês</x:v>
      </x:c>
      <x:c r="B10" s="34" t="n">
        <x:v>0</x:v>
      </x:c>
      <x:c r="C10" s="27" t="str">
        <x:v>Editável</x:v>
      </x:c>
      <x:c r="D10" s="27" t="str">
        <x:v>Faltas reduzem dias disponíveis e custos variáveis.</x:v>
      </x:c>
      <x:c r="E10" s="27" t="str">
        <x:v>Projeção futura</x:v>
      </x:c>
      <x:c r="F10" s="27" t="str">
        <x:v>Medir</x:v>
      </x:c>
    </x:row>
    <x:row r="11" ht="23" customHeight="1">
      <x:c r="A11" s="27" t="str">
        <x:v>Dias efetivos de trabalho por mês</x:v>
      </x:c>
      <x:c r="B11" s="27" t="n">
        <x:f>MAX(0,B9-B10)</x:f>
        <x:v>17.142857142857142</x:v>
      </x:c>
      <x:c r="C11" s="27" t="str">
        <x:v>Calculado</x:v>
      </x:c>
      <x:c r="D11" s="27" t="str">
        <x:v>Máx. entre zero e dias programados menos ausências.</x:v>
      </x:c>
      <x:c r="E11" s="27" t="str">
        <x:v>Fórmula</x:v>
      </x:c>
      <x:c r="F11" s="27" t="str">
        <x:v>Calculado</x:v>
      </x:c>
    </x:row>
    <x:row r="12" ht="23" customHeight="1">
      <x:c r="A12" s="27" t="str">
        <x:v>Salário mínimo nacional | R$/mês</x:v>
      </x:c>
      <x:c r="B12" s="131" t="n">
        <x:v>1621</x:v>
      </x:c>
      <x:c r="C12" s="27" t="str">
        <x:v>Oficial 2026</x:v>
      </x:c>
      <x:c r="D12" s="27" t="str">
        <x:v>Vigência desde janeiro/2026.</x:v>
      </x:c>
      <x:c r="E12" s="27" t="str">
        <x:v>https://planalto.gov.br/ccivil_03/_ato2023-2026/2025/decreto/d12797.htm</x:v>
      </x:c>
      <x:c r="F12" s="27" t="str">
        <x:v>Verificado</x:v>
      </x:c>
    </x:row>
    <x:row r="13" ht="23" customHeight="1">
      <x:c r="A13" s="27" t="str">
        <x:v>Dízimo sobre repasse do motorista | %</x:v>
      </x:c>
      <x:c r="B13" s="162" t="n">
        <x:v>0.1</x:v>
      </x:c>
      <x:c r="C13" s="27" t="str">
        <x:v>Definido</x:v>
      </x:c>
      <x:c r="D13" s="27" t="str">
        <x:v>Dedução de 10% de toda a receita efetivamente recebida.</x:v>
      </x:c>
      <x:c r="E13" s="27" t="str">
        <x:v>Regra fornecida pelo usuário</x:v>
      </x:c>
      <x:c r="F13" s="27" t="str">
        <x:v>Confirmado</x:v>
      </x:c>
    </x:row>
    <x:row r="14" ht="23" customHeight="1">
      <x:c r="A14" s="27" t="str">
        <x:v>Meta obrigatória | % do salário mínimo</x:v>
      </x:c>
      <x:c r="B14" s="162" t="n">
        <x:v>0.15</x:v>
      </x:c>
      <x:c r="C14" s="27" t="str">
        <x:v>Definido</x:v>
      </x:c>
      <x:c r="D14" s="27" t="str">
        <x:v>Lucro líquido final mínimo por mês.</x:v>
      </x:c>
      <x:c r="E14" s="27" t="str">
        <x:v>Regra fornecida pelo usuário</x:v>
      </x:c>
      <x:c r="F14" s="27" t="str">
        <x:v>Confirmado</x:v>
      </x:c>
    </x:row>
    <x:row r="15" ht="23" customHeight="1">
      <x:c r="A15" s="27" t="str">
        <x:v>Meta desejável | % do salário mínimo</x:v>
      </x:c>
      <x:c r="B15" s="162" t="n">
        <x:v>1</x:v>
      </x:c>
      <x:c r="C15" s="27" t="str">
        <x:v>Definido</x:v>
      </x:c>
      <x:c r="D15" s="27" t="str">
        <x:v>Meta mensal mais exigente.</x:v>
      </x:c>
      <x:c r="E15" s="27" t="str">
        <x:v>Regra fornecida pelo usuário</x:v>
      </x:c>
      <x:c r="F15" s="27" t="str">
        <x:v>Confirmado</x:v>
      </x:c>
    </x:row>
    <x:row r="16" ht="23" customHeight="1">
      <x:c r="A16" s="27" t="str">
        <x:v>Nota mínima de passageiro | 0 a 5</x:v>
      </x:c>
      <x:c r="B16" s="27" t="n">
        <x:v>4.8</x:v>
      </x:c>
      <x:c r="C16" s="27" t="str">
        <x:v>Definido</x:v>
      </x:c>
      <x:c r="D16" s="27" t="str">
        <x:v>Filtro eliminatório em todos os cenários.</x:v>
      </x:c>
      <x:c r="E16" s="27" t="str">
        <x:v>Regra fornecida pelo usuário</x:v>
      </x:c>
      <x:c r="F16" s="27" t="str">
        <x:v>Confirmado</x:v>
      </x:c>
    </x:row>
    <x:row r="17" ht="23" customHeight="1">
      <x:c r="A17" s="27" t="str">
        <x:v>Perímetro urbano preferencial | raio km</x:v>
      </x:c>
      <x:c r="B17" s="27" t="n">
        <x:v>8</x:v>
      </x:c>
      <x:c r="C17" s="27" t="str">
        <x:v>Preferência</x:v>
      </x:c>
      <x:c r="D17" s="27" t="str">
        <x:v>Não equivale a distância da viagem nem geocerca verificada.</x:v>
      </x:c>
      <x:c r="E17" s="27" t="str">
        <x:v>Preferência fornecida pelo usuário</x:v>
      </x:c>
      <x:c r="F17" s="27" t="str">
        <x:v>Confirmado</x:v>
      </x:c>
    </x:row>
    <x:row r="18" ht="23" customHeight="1">
      <x:c r="A18" s="27" t="str">
        <x:v>Embarque máximo sugerido | km</x:v>
      </x:c>
      <x:c r="B18" s="34" t="n">
        <x:v>2</x:v>
      </x:c>
      <x:c r="C18" s="27" t="str">
        <x:v>A calibrar</x:v>
      </x:c>
      <x:c r="D18" s="27" t="str">
        <x:v>Limite de coleta configurável no Rota Pro.</x:v>
      </x:c>
      <x:c r="E18" s="27" t="str">
        <x:v>https://rotapro.app/</x:v>
      </x:c>
      <x:c r="F18" s="27" t="str">
        <x:v>Medir</x:v>
      </x:c>
    </x:row>
    <x:row r="19" ht="23" customHeight="1">
      <x:c r="A19" s="27" t="str">
        <x:v>Distância máxima sugerida de viagem | km</x:v>
      </x:c>
      <x:c r="B19" s="34" t="n">
        <x:v>8</x:v>
      </x:c>
      <x:c r="C19" s="27" t="str">
        <x:v>A calibrar</x:v>
      </x:c>
      <x:c r="D19" s="27" t="str">
        <x:v>Regra auxiliar; não garante respeitar perímetro.</x:v>
      </x:c>
      <x:c r="E19" s="27" t="str">
        <x:v>Preferência do usuário; validar no app</x:v>
      </x:c>
      <x:c r="F19" s="27" t="str">
        <x:v>Medir</x:v>
      </x:c>
    </x:row>
    <x:row r="20" ht="23" customHeight="1">
      <x:c r="A20" s="27" t="str">
        <x:v>Etanol | R$/litro</x:v>
      </x:c>
      <x:c r="B20" s="144" t="n">
        <x:v>3.79</x:v>
      </x:c>
      <x:c r="C20" s="27" t="str">
        <x:v>Preço informado</x:v>
      </x:c>
      <x:c r="D20" s="27" t="str">
        <x:v>Preço da última referência fornecida; verificar bomba.</x:v>
      </x:c>
      <x:c r="E20" s="27" t="str">
        <x:v>Informação fornecida pelo usuário</x:v>
      </x:c>
      <x:c r="F20" s="27" t="str">
        <x:v>Atualizar</x:v>
      </x:c>
    </x:row>
    <x:row r="21" ht="23" customHeight="1">
      <x:c r="A21" s="27" t="str">
        <x:v>Gasolina | R$/litro</x:v>
      </x:c>
      <x:c r="B21" s="144" t="n">
        <x:v>6.39</x:v>
      </x:c>
      <x:c r="C21" s="27" t="str">
        <x:v>Preço informado</x:v>
      </x:c>
      <x:c r="D21" s="27" t="str">
        <x:v>Preço da última referência fornecida; verificar bomba.</x:v>
      </x:c>
      <x:c r="E21" s="27" t="str">
        <x:v>Informação fornecida pelo usuário</x:v>
      </x:c>
      <x:c r="F21" s="27" t="str">
        <x:v>Atualizar</x:v>
      </x:c>
    </x:row>
    <x:row r="22" ht="23" customHeight="1">
      <x:c r="A22" s="27" t="str">
        <x:v>Combustível utilizado</x:v>
      </x:c>
      <x:c r="B22" s="34" t="str">
        <x:v>Etanol</x:v>
      </x:c>
      <x:c r="C22" s="27" t="str">
        <x:v>Escolha editável</x:v>
      </x:c>
      <x:c r="D22" s="27" t="str">
        <x:v>Etanol; Gasolina; Mistura 50/50.</x:v>
      </x:c>
      <x:c r="E22" s="27" t="str">
        <x:v>Configuração de simulação</x:v>
      </x:c>
      <x:c r="F22" s="27" t="str">
        <x:v>Atualizar</x:v>
      </x:c>
    </x:row>
    <x:row r="23" ht="23" customHeight="1">
      <x:c r="A23" s="27" t="str">
        <x:v>Fração de etanol na mistura | proporção</x:v>
      </x:c>
      <x:c r="B23" s="168" t="n">
        <x:v>0.5</x:v>
      </x:c>
      <x:c r="C23" s="27" t="str">
        <x:v>Hipótese</x:v>
      </x:c>
      <x:c r="D23" s="27" t="str">
        <x:v>Mistura volumétrica; consumo aproximado não foi medido.</x:v>
      </x:c>
      <x:c r="E23" s="27" t="str">
        <x:v>Modelo hipotético</x:v>
      </x:c>
      <x:c r="F23" s="27" t="str">
        <x:v>Medir</x:v>
      </x:c>
    </x:row>
    <x:row r="24" ht="23" customHeight="1">
      <x:c r="A24" s="27" t="str">
        <x:v>Seguro do veículo | R$/mês</x:v>
      </x:c>
      <x:c r="B24" s="144" t="n">
        <x:v>297.41</x:v>
      </x:c>
      <x:c r="C24" s="27" t="str">
        <x:v>Informado</x:v>
      </x:c>
      <x:c r="D24" s="27" t="str">
        <x:v>Conferir valor e cobertura para transporte de passageiros.</x:v>
      </x:c>
      <x:c r="E24" s="27" t="str">
        <x:v>Apólice ou fatura vigente; atualizar quando houver comprovante.</x:v>
      </x:c>
      <x:c r="F24" s="27" t="str">
        <x:v>Confirmar</x:v>
      </x:c>
    </x:row>
    <x:row r="25" ht="23" customHeight="1">
      <x:c r="A25" s="27" t="str">
        <x:v>Prestação do financiamento | R$/mês</x:v>
      </x:c>
      <x:c r="B25" s="144" t="n">
        <x:v>550</x:v>
      </x:c>
      <x:c r="C25" s="27" t="str">
        <x:v>Informado</x:v>
      </x:c>
      <x:c r="D25" s="27" t="str">
        <x:v>Saída de caixa integral; não representa depreciação.</x:v>
      </x:c>
      <x:c r="E25" s="27" t="str">
        <x:v>Contrato/fatura vigente; atualizar quando houver comprovante.</x:v>
      </x:c>
      <x:c r="F25" s="27" t="str">
        <x:v>Confirmar</x:v>
      </x:c>
    </x:row>
    <x:row r="26" ht="23" customHeight="1">
      <x:c r="A26" s="27" t="str">
        <x:v>Valor venal do IPVA 2026 | R$</x:v>
      </x:c>
      <x:c r="B26" s="144" t="n">
        <x:v>70658</x:v>
      </x:c>
      <x:c r="C26" s="27" t="str">
        <x:v>Indicativo 2026</x:v>
      </x:c>
      <x:c r="D26" s="27" t="str">
        <x:v>Consulta indicativa exata versão/ano; confirme com Renavam no SIVEI.</x:v>
      </x:c>
      <x:c r="E26" s="27" t="str">
        <x:v>https://www.ipvabr.com.br/IPVA2026/SP/A-TOYOTA/1118980-YARIS-SD-XL-15-AT/2019</x:v>
      </x:c>
      <x:c r="F26" s="27" t="str">
        <x:v>Confirmar</x:v>
      </x:c>
    </x:row>
    <x:row r="27" ht="23" customHeight="1">
      <x:c r="A27" s="27" t="str">
        <x:v>Alíquota IPVA automóvel SP | %</x:v>
      </x:c>
      <x:c r="B27" s="162" t="n">
        <x:v>0.04</x:v>
      </x:c>
      <x:c r="C27" s="27" t="str">
        <x:v>Legal</x:v>
      </x:c>
      <x:c r="D27" s="27" t="str">
        <x:v>Alíquota geral sem regimes de isenção.</x:v>
      </x:c>
      <x:c r="E27" s="27" t="str">
        <x:v>https://legislacao.fazenda.sp.gov.br/Paginas/lei13296.aspx</x:v>
      </x:c>
      <x:c r="F27" s="27" t="str">
        <x:v>Verificado</x:v>
      </x:c>
    </x:row>
    <x:row r="28" ht="23" customHeight="1">
      <x:c r="A28" s="27" t="str">
        <x:v>Licenciamento SP 2026 | R$/ano</x:v>
      </x:c>
      <x:c r="B28" s="131" t="n">
        <x:v>174.08</x:v>
      </x:c>
      <x:c r="C28" s="27" t="str">
        <x:v>Oficial</x:v>
      </x:c>
      <x:c r="D28" s="27" t="str">
        <x:v>Taxa anual de 2026.</x:v>
      </x:c>
      <x:c r="E28" s="27" t="str">
        <x:v>https://www.agenciasp.sp.gov.br/licenciamento-no-estado-de-sp-ultrapassa-44-milhoes-de-veiculos-em-2026/</x:v>
      </x:c>
      <x:c r="F28" s="27" t="str">
        <x:v>Verificado</x:v>
      </x:c>
    </x:row>
    <x:row r="29" ht="23" customHeight="1">
      <x:c r="A29" s="27" t="str">
        <x:v>Assinatura Rota Pro | R$/ano</x:v>
      </x:c>
      <x:c r="B29" s="131" t="n">
        <x:v>97</x:v>
      </x:c>
      <x:c r="C29" s="27" t="str">
        <x:v>Preço anunciado</x:v>
      </x:c>
      <x:c r="D29" s="27" t="str">
        <x:v>Uma assinatura anual; confirmar contratação real.</x:v>
      </x:c>
      <x:c r="E29" s="27" t="str">
        <x:v>https://rotapro.app/</x:v>
      </x:c>
      <x:c r="F29" s="27" t="str">
        <x:v>Verificado site</x:v>
      </x:c>
    </x:row>
    <x:row r="30" ht="23" customHeight="1">
      <x:c r="A30" s="27" t="str">
        <x:v>Limpeza/higienização adicional | R$/mês</x:v>
      </x:c>
      <x:c r="B30" s="144" t="n">
        <x:v>0</x:v>
      </x:c>
      <x:c r="C30" s="27" t="str">
        <x:v>Não informado</x:v>
      </x:c>
      <x:c r="D30" s="27" t="str">
        <x:v>Zero temporário NÃO demonstra ausência de custo.</x:v>
      </x:c>
      <x:c r="E30" s="27" t="str">
        <x:v>Adicionar comprovantes reais</x:v>
      </x:c>
      <x:c r="F30" s="27" t="str">
        <x:v>Pendente</x:v>
      </x:c>
    </x:row>
    <x:row r="31" ht="23" customHeight="1">
      <x:c r="A31" s="27" t="str">
        <x:v>Celular/dados incrementais | R$/mês</x:v>
      </x:c>
      <x:c r="B31" s="144" t="n">
        <x:v>0</x:v>
      </x:c>
      <x:c r="C31" s="27" t="str">
        <x:v>Não informado</x:v>
      </x:c>
      <x:c r="D31" s="27" t="str">
        <x:v>Somente parcela adicional causada pelo trabalho.</x:v>
      </x:c>
      <x:c r="E31" s="27" t="str">
        <x:v>Adicionar comprovantes reais</x:v>
      </x:c>
      <x:c r="F31" s="27" t="str">
        <x:v>Pendente</x:v>
      </x:c>
    </x:row>
    <x:row r="32" ht="23" customHeight="1">
      <x:c r="A32" s="27" t="str">
        <x:v>Outras despesas fixas | R$/mês</x:v>
      </x:c>
      <x:c r="B32" s="144" t="n">
        <x:v>0</x:v>
      </x:c>
      <x:c r="C32" s="27" t="str">
        <x:v>Não informado</x:v>
      </x:c>
      <x:c r="D32" s="27" t="str">
        <x:v>Somente despesas não contadas nas categorias existentes.</x:v>
      </x:c>
      <x:c r="E32" s="27" t="str">
        <x:v>Inserir se houver</x:v>
      </x:c>
      <x:c r="F32" s="27" t="str">
        <x:v>Pendente</x:v>
      </x:c>
    </x:row>
    <x:row r="33" ht="23" customHeight="1">
      <x:c r="A33" s="27" t="str">
        <x:v>Despesa adicional por viagem | R$/corrida</x:v>
      </x:c>
      <x:c r="B33" s="144" t="n">
        <x:v>0</x:v>
      </x:c>
      <x:c r="C33" s="27" t="str">
        <x:v>Não informado</x:v>
      </x:c>
      <x:c r="D33" s="27" t="str">
        <x:v>Pedágios e itens variáveis não provisionados por km.</x:v>
      </x:c>
      <x:c r="E33" s="27" t="str">
        <x:v>Inserir se houver</x:v>
      </x:c>
      <x:c r="F33" s="27" t="str">
        <x:v>Pendente</x:v>
      </x:c>
    </x:row>
    <x:row r="34" ht="23" customHeight="1">
      <x:c r="A34" s="27" t="str">
        <x:v>Tributo incidente sobre receita | %</x:v>
      </x:c>
      <x:c r="B34" s="168" t="n">
        <x:v>0</x:v>
      </x:c>
      <x:c r="C34" s="27" t="str">
        <x:v>Não verificado</x:v>
      </x:c>
      <x:c r="D34" s="27" t="str">
        <x:v>Zero NÃO significa isenção; confirmar enquadramento fiscal.</x:v>
      </x:c>
      <x:c r="E34" s="27" t="str">
        <x:v>Orientação fiscal local</x:v>
      </x:c>
      <x:c r="F34" s="27" t="str">
        <x:v>Pendente</x:v>
      </x:c>
    </x:row>
    <x:row r="35" ht="23" customHeight="1">
      <x:c r="A35" s="27" t="str">
        <x:v>Depreciação econômica | R$/km</x:v>
      </x:c>
      <x:c r="B35" s="154" t="n">
        <x:v>0</x:v>
      </x:c>
      <x:c r="C35" s="27" t="str">
        <x:v>Não verificado</x:v>
      </x:c>
      <x:c r="D35" s="27" t="str">
        <x:v>Fora da apuração de caixa; calcular quando houver valor residual.</x:v>
      </x:c>
      <x:c r="E35" s="27" t="str">
        <x:v>Pesquisa patrimonial futura</x:v>
      </x:c>
      <x:c r="F35" s="27" t="str">
        <x:v>Pendente</x:v>
      </x:c>
    </x:row>
    <x:row r="36" ht="23" customHeight="1">
      <x:c r="A36" s="27" t="str">
        <x:v>Teto de ocupação do tempo produtivo | %</x:v>
      </x:c>
      <x:c r="B36" s="168" t="n">
        <x:v>0.92</x:v>
      </x:c>
      <x:c r="C36" s="27" t="str">
        <x:v>Hipótese</x:v>
      </x:c>
      <x:c r="D36" s="27" t="str">
        <x:v>Reserva para espera, embarque e imprevistos de jornada.</x:v>
      </x:c>
      <x:c r="E36" s="27" t="str">
        <x:v>Calibrar em viagens reais</x:v>
      </x:c>
      <x:c r="F36" s="27" t="str">
        <x:v>Medir</x:v>
      </x:c>
    </x:row>
    <x:row r="37" ht="23" customHeight="1">
      <x:c r="A37" s="27" t="str">
        <x:v>Margem prudencial dos filtros Rota Pro | %</x:v>
      </x:c>
      <x:c r="B37" s="168" t="n">
        <x:v>0.05</x:v>
      </x:c>
      <x:c r="C37" s="27" t="str">
        <x:v>Hipótese</x:v>
      </x:c>
      <x:c r="D37" s="27" t="str">
        <x:v>Acréscimo aos mínimos por km/hora para incertezas.</x:v>
      </x:c>
      <x:c r="E37" s="27" t="str">
        <x:v>Simulação editável</x:v>
      </x:c>
      <x:c r="F37" s="27" t="str">
        <x:v>Medir</x:v>
      </x:c>
    </x:row>
    <x:row r="38" ht="23" customHeight="1">
      <x:c r="A38" s="27"/>
      <x:c r="B38" s="27"/>
      <x:c r="C38" s="27"/>
      <x:c r="D38" s="27"/>
      <x:c r="E38" s="27"/>
      <x:c r="F38" s="27"/>
    </x:row>
    <x:row r="39" ht="23" customHeight="1">
      <x:c r="A39" s="27" t="str">
        <x:v>Preço ao passageiro | faixa inferior observada R$</x:v>
      </x:c>
      <x:c r="B39" s="131" t="n">
        <x:v>8</x:v>
      </x:c>
      <x:c r="C39" s="27" t="str">
        <x:v>Observação</x:v>
      </x:c>
      <x:c r="D39" s="27" t="str">
        <x:v>Não é repasse ao motorista nem limite de aceite.</x:v>
      </x:c>
      <x:c r="E39" s="27" t="str">
        <x:v>Relato do usuário, como passageiro</x:v>
      </x:c>
      <x:c r="F39" s="27" t="str">
        <x:v>Observado</x:v>
      </x:c>
    </x:row>
    <x:row r="40" ht="23" customHeight="1">
      <x:c r="A40" s="27" t="str">
        <x:v>Preço ao passageiro | faixa superior observada R$</x:v>
      </x:c>
      <x:c r="B40" s="131" t="n">
        <x:v>12.5</x:v>
      </x:c>
      <x:c r="C40" s="27" t="str">
        <x:v>Observação</x:v>
      </x:c>
      <x:c r="D40" s="27" t="str">
        <x:v>Não é repasse ao motorista nem limite de aceite.</x:v>
      </x:c>
      <x:c r="E40" s="27" t="str">
        <x:v>Relato do usuário, como passageiro</x:v>
      </x:c>
      <x:c r="F40" s="27" t="str">
        <x:v>Observado</x:v>
      </x:c>
    </x:row>
    <x:row r="41" ht="23" customHeight="1">
      <x:c r="A41" s="27" t="str">
        <x:v>Provisão inicial de preparação | R$ (não recorrente)</x:v>
      </x:c>
      <x:c r="B41" s="144" t="n">
        <x:v>3000</x:v>
      </x:c>
      <x:c r="C41" s="27" t="str">
        <x:v>Estimativa</x:v>
      </x:c>
      <x:c r="D41" s="27" t="str">
        <x:v>Pneus/revisão inicial; desembolso excepcional, fora dos custos recorrentes.</x:v>
      </x:c>
      <x:c r="E41" s="27" t="str">
        <x:v>Avaliação preliminar do veículo</x:v>
      </x:c>
      <x:c r="F41" s="27" t="str">
        <x:v>Verificar</x:v>
      </x:c>
    </x:row>
  </x:sheetData>
  <x:mergeCells>
    <x:mergeCell ref="A1:F1"/>
    <x:mergeCell ref="A2:F2"/>
  </x:mergeCells>
  <x:dataValidations count="1">
    <x:dataValidation type="list" sqref="B22">
      <x:formula1>"Etanol,Gasolina,Mistura 50/50"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8" hidden="0" customWidth="1"/>
    <x:col min="5" max="5" width="19" hidden="0" customWidth="1"/>
    <x:col min="6" max="6" width="19" hidden="0" customWidth="1"/>
    <x:col min="7" max="7" width="23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20" hidden="0" customWidth="1"/>
    <x:col min="13" max="13" width="21" hidden="0" customWidth="1"/>
    <x:col min="14" max="14" width="44" hidden="0" customWidth="1"/>
  </x:cols>
  <x:sheetData>
    <x:row r="1" ht="33" customHeight="1">
      <x:c r="A1" s="4" t="str">
        <x:v>DEMANDA E PRODUTIVIDADE | PREMISSAS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26" t="str">
        <x:v>Ofertas, aprovação após nota/zona/semáforo, tempos, trajetos e repasses são cenários editáveis — não medições locais.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 ht="23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 ht="23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54" customHeight="1">
      <x:c r="A5" s="17" t="str">
        <x:v>Perfil</x:v>
      </x:c>
      <x:c r="B5" s="17" t="str">
        <x:v>Ofertas recebidas/h</x:v>
      </x:c>
      <x:c r="C5" s="17" t="str">
        <x:v>Nota ≥ 4,80 (%)</x:v>
      </x:c>
      <x:c r="D5" s="17" t="str">
        <x:v>Dentro da zona (%)</x:v>
      </x:c>
      <x:c r="E5" s="17" t="str">
        <x:v>Verdes: meta 15% (%)</x:v>
      </x:c>
      <x:c r="F5" s="17" t="str">
        <x:v>Verdes: meta 100% (%)</x:v>
      </x:c>
      <x:c r="G5" s="17" t="str">
        <x:v>Duração média/corrida (min)</x:v>
      </x:c>
      <x:c r="H5" s="17" t="str">
        <x:v>Com passageiro (km)</x:v>
      </x:c>
      <x:c r="I5" s="17" t="str">
        <x:v>Até embarque (km)</x:v>
      </x:c>
      <x:c r="J5" s="17" t="str">
        <x:v>Reposição vazia (km)</x:v>
      </x:c>
      <x:c r="K5" s="17" t="str">
        <x:v>Recebido por corrida (R$)</x:v>
      </x:c>
      <x:c r="L5" s="17" t="str">
        <x:v>Urbano etanol (km/L)</x:v>
      </x:c>
      <x:c r="M5" s="17" t="str">
        <x:v>Urbano gasolina (km/L)</x:v>
      </x:c>
      <x:c r="N5" s="17" t="str">
        <x:v>Fonte do cenário</x:v>
      </x:c>
    </x:row>
    <x:row r="6" ht="23" customHeight="1">
      <x:c r="A6" s="27" t="str">
        <x:v>Otimista</x:v>
      </x:c>
      <x:c r="B6" s="32" t="n">
        <x:v>6</x:v>
      </x:c>
      <x:c r="C6" s="166" t="n">
        <x:v>0.86</x:v>
      </x:c>
      <x:c r="D6" s="166" t="n">
        <x:v>0.9</x:v>
      </x:c>
      <x:c r="E6" s="166" t="n">
        <x:v>0.9</x:v>
      </x:c>
      <x:c r="F6" s="166" t="n">
        <x:v>0.68</x:v>
      </x:c>
      <x:c r="G6" s="32" t="n">
        <x:v>14</x:v>
      </x:c>
      <x:c r="H6" s="32" t="n">
        <x:v>2.6</x:v>
      </x:c>
      <x:c r="I6" s="32" t="n">
        <x:v>0.7</x:v>
      </x:c>
      <x:c r="J6" s="32" t="n">
        <x:v>0.3</x:v>
      </x:c>
      <x:c r="K6" s="146" t="n">
        <x:v>10</x:v>
      </x:c>
      <x:c r="L6" s="32" t="n">
        <x:v>8.8</x:v>
      </x:c>
      <x:c r="M6" s="32" t="n">
        <x:v>12.6</x:v>
      </x:c>
      <x:c r="N6" s="27" t="str">
        <x:v>Cenário favorável: substituir por corridas registradas</x:v>
      </x:c>
    </x:row>
    <x:row r="7" ht="23" customHeight="1">
      <x:c r="A7" s="27" t="str">
        <x:v>Equilibrado</x:v>
      </x:c>
      <x:c r="B7" s="32" t="n">
        <x:v>5.5</x:v>
      </x:c>
      <x:c r="C7" s="166" t="n">
        <x:v>0.82</x:v>
      </x:c>
      <x:c r="D7" s="166" t="n">
        <x:v>0.87</x:v>
      </x:c>
      <x:c r="E7" s="166" t="n">
        <x:v>0.82</x:v>
      </x:c>
      <x:c r="F7" s="166" t="n">
        <x:v>0.62</x:v>
      </x:c>
      <x:c r="G7" s="32" t="n">
        <x:v>17</x:v>
      </x:c>
      <x:c r="H7" s="32" t="n">
        <x:v>2.7</x:v>
      </x:c>
      <x:c r="I7" s="32" t="n">
        <x:v>0.9</x:v>
      </x:c>
      <x:c r="J7" s="32" t="n">
        <x:v>0.6</x:v>
      </x:c>
      <x:c r="K7" s="146" t="n">
        <x:v>8.5</x:v>
      </x:c>
      <x:c r="L7" s="32" t="n">
        <x:v>7.8</x:v>
      </x:c>
      <x:c r="M7" s="32" t="n">
        <x:v>11</x:v>
      </x:c>
      <x:c r="N7" s="27" t="str">
        <x:v>Cenário central: substituir por corridas registradas</x:v>
      </x:c>
    </x:row>
    <x:row r="8" ht="23" customHeight="1">
      <x:c r="A8" s="27" t="str">
        <x:v>Pessimista</x:v>
      </x:c>
      <x:c r="B8" s="32" t="n">
        <x:v>4.5</x:v>
      </x:c>
      <x:c r="C8" s="166" t="n">
        <x:v>0.72</x:v>
      </x:c>
      <x:c r="D8" s="166" t="n">
        <x:v>0.8</x:v>
      </x:c>
      <x:c r="E8" s="166" t="n">
        <x:v>0.73</x:v>
      </x:c>
      <x:c r="F8" s="166" t="n">
        <x:v>0.5</x:v>
      </x:c>
      <x:c r="G8" s="32" t="n">
        <x:v>21</x:v>
      </x:c>
      <x:c r="H8" s="32" t="n">
        <x:v>2.8</x:v>
      </x:c>
      <x:c r="I8" s="32" t="n">
        <x:v>1.4</x:v>
      </x:c>
      <x:c r="J8" s="32" t="n">
        <x:v>1.1</x:v>
      </x:c>
      <x:c r="K8" s="146" t="n">
        <x:v>7</x:v>
      </x:c>
      <x:c r="L8" s="32" t="n">
        <x:v>6.5</x:v>
      </x:c>
      <x:c r="M8" s="32" t="n">
        <x:v>9</x:v>
      </x:c>
      <x:c r="N8" s="27" t="str">
        <x:v>Cenário desfavorável: substituir por corridas registradas</x:v>
      </x:c>
    </x:row>
    <x:row r="9" ht="23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</x:row>
    <x:row r="10" ht="23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</x:row>
    <x:row r="11" ht="38" customHeight="1">
      <x:c r="A11" s="50" t="str">
        <x:v>O consumo urbano é uma hipótese de uso real, não dado aferido. Ensaios Inmetro do Yaris Sedan XL CVT 2019: 9,0/10,6 km/L etanol e 13,0/14,5 km/L gasolina (cidade/estrada).</x:v>
      </x:c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</x:row>
    <x:row r="12" ht="23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</x:row>
  </x:sheetData>
  <x:mergeCells>
    <x:mergeCell ref="A1:N1"/>
    <x:mergeCell ref="A2:N2"/>
    <x:mergeCell ref="A11:N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3" hidden="0" customWidth="1"/>
    <x:col min="3" max="3" width="24" hidden="0" customWidth="1"/>
    <x:col min="4" max="4" width="24" hidden="0" customWidth="1"/>
    <x:col min="5" max="5" width="55" hidden="0" customWidth="1"/>
  </x:cols>
  <x:sheetData>
    <x:row r="1" ht="33" customHeight="1">
      <x:c r="A1" s="4" t="str">
        <x:v>MANUTENÇÃO E DESGASTE | R$/KM</x:v>
      </x:c>
      <x:c r="B1" s="4"/>
      <x:c r="C1" s="4"/>
      <x:c r="D1" s="4"/>
      <x:c r="E1" s="4"/>
    </x:row>
    <x:row r="2" ht="34" customHeight="1">
      <x:c r="A2" s="26" t="str">
        <x:v>Categorias completas e NÃO sobrepostas. Os valores são provisões de desgaste, não pagamentos garantidos em cada mês.</x:v>
      </x:c>
      <x:c r="B2" s="26"/>
      <x:c r="C2" s="26"/>
      <x:c r="D2" s="26"/>
      <x:c r="E2" s="26"/>
    </x:row>
    <x:row r="3" ht="23" customHeight="1">
      <x:c r="A3" s="27"/>
      <x:c r="B3" s="27"/>
      <x:c r="C3" s="27"/>
      <x:c r="D3" s="27"/>
      <x:c r="E3" s="27"/>
    </x:row>
    <x:row r="4" ht="23" customHeight="1">
      <x:c r="A4" s="27"/>
      <x:c r="B4" s="27"/>
      <x:c r="C4" s="27"/>
      <x:c r="D4" s="27"/>
      <x:c r="E4" s="27"/>
    </x:row>
    <x:row r="5" ht="54" customHeight="1">
      <x:c r="A5" s="17" t="str">
        <x:v>Categoria de desgaste</x:v>
      </x:c>
      <x:c r="B5" s="17" t="str">
        <x:v>Otimista (R$/km)</x:v>
      </x:c>
      <x:c r="C5" s="17" t="str">
        <x:v>Equilibrado (R$/km)</x:v>
      </x:c>
      <x:c r="D5" s="17" t="str">
        <x:v>Pessimista (R$/km)</x:v>
      </x:c>
      <x:c r="E5" s="17" t="str">
        <x:v>Critério</x:v>
      </x:c>
    </x:row>
    <x:row r="6" ht="23" customHeight="1">
      <x:c r="A6" s="27" t="str">
        <x:v>Óleo, filtros e revisões</x:v>
      </x:c>
      <x:c r="B6" s="52" t="n">
        <x:v>0.075</x:v>
      </x:c>
      <x:c r="C6" s="52" t="n">
        <x:v>0.095</x:v>
      </x:c>
      <x:c r="D6" s="52" t="n">
        <x:v>0.12</x:v>
      </x:c>
      <x:c r="E6" s="27" t="str">
        <x:v>Manutenção regular e inspeções</x:v>
      </x:c>
    </x:row>
    <x:row r="7" ht="23" customHeight="1">
      <x:c r="A7" s="27" t="str">
        <x:v>Pneus, alinhamento e balanceamento</x:v>
      </x:c>
      <x:c r="B7" s="52" t="n">
        <x:v>0.035</x:v>
      </x:c>
      <x:c r="C7" s="52" t="n">
        <x:v>0.048</x:v>
      </x:c>
      <x:c r="D7" s="52" t="n">
        <x:v>0.065</x:v>
      </x:c>
      <x:c r="E7" s="27" t="str">
        <x:v>Desgaste de pneus e serviços</x:v>
      </x:c>
    </x:row>
    <x:row r="8" ht="23" customHeight="1">
      <x:c r="A8" s="27" t="str">
        <x:v>Freios, discos e fluidos</x:v>
      </x:c>
      <x:c r="B8" s="52" t="n">
        <x:v>0.014</x:v>
      </x:c>
      <x:c r="C8" s="52" t="n">
        <x:v>0.025</x:v>
      </x:c>
      <x:c r="D8" s="52" t="n">
        <x:v>0.04</x:v>
      </x:c>
      <x:c r="E8" s="27" t="str">
        <x:v>Sistema de frenagem</x:v>
      </x:c>
    </x:row>
    <x:row r="9" ht="23" customHeight="1">
      <x:c r="A9" s="27" t="str">
        <x:v>Suspensão e direção</x:v>
      </x:c>
      <x:c r="B9" s="52" t="n">
        <x:v>0.02</x:v>
      </x:c>
      <x:c r="C9" s="52" t="n">
        <x:v>0.04</x:v>
      </x:c>
      <x:c r="D9" s="52" t="n">
        <x:v>0.07</x:v>
      </x:c>
      <x:c r="E9" s="27" t="str">
        <x:v>Articulações, amortecedores e associados</x:v>
      </x:c>
    </x:row>
    <x:row r="10" ht="23" customHeight="1">
      <x:c r="A10" s="27" t="str">
        <x:v>CVT: manutenção preventiva</x:v>
      </x:c>
      <x:c r="B10" s="52" t="n">
        <x:v>0.012</x:v>
      </x:c>
      <x:c r="C10" s="52" t="n">
        <x:v>0.02</x:v>
      </x:c>
      <x:c r="D10" s="52" t="n">
        <x:v>0.03</x:v>
      </x:c>
      <x:c r="E10" s="27" t="str">
        <x:v>Respeitar manual e uso severo</x:v>
      </x:c>
    </x:row>
    <x:row r="11" ht="23" customHeight="1">
      <x:c r="A11" s="27" t="str">
        <x:v>Bateria, velas e consumíveis</x:v>
      </x:c>
      <x:c r="B11" s="52" t="n">
        <x:v>0.014</x:v>
      </x:c>
      <x:c r="C11" s="52" t="n">
        <x:v>0.022</x:v>
      </x:c>
      <x:c r="D11" s="52" t="n">
        <x:v>0.035</x:v>
      </x:c>
      <x:c r="E11" s="27" t="str">
        <x:v>Itens periódicos complementares</x:v>
      </x:c>
    </x:row>
    <x:row r="12" ht="23" customHeight="1">
      <x:c r="A12" s="27" t="str">
        <x:v>Reparos corretivos usuais</x:v>
      </x:c>
      <x:c r="B12" s="52" t="n">
        <x:v>0.025</x:v>
      </x:c>
      <x:c r="C12" s="52" t="n">
        <x:v>0.045</x:v>
      </x:c>
      <x:c r="D12" s="52" t="n">
        <x:v>0.08</x:v>
      </x:c>
      <x:c r="E12" s="27" t="str">
        <x:v>Provisão para reparos não programados</x:v>
      </x:c>
    </x:row>
    <x:row r="13" ht="23" customHeight="1">
      <x:c r="A13" s="60" t="str">
        <x:v>TOTAL PROVISIONADO / KM</x:v>
      </x:c>
      <x:c r="B13" s="61" t="n">
        <x:f>SUM(B6:B12)</x:f>
        <x:v>0.195</x:v>
      </x:c>
      <x:c r="C13" s="61" t="n">
        <x:f>SUM(C6:C12)</x:f>
        <x:v>0.295</x:v>
      </x:c>
      <x:c r="D13" s="61" t="n">
        <x:f>SUM(D6:D12)</x:f>
        <x:v>0.4400000000000001</x:v>
      </x:c>
      <x:c r="E13" s="60"/>
    </x:row>
    <x:row r="14" ht="23" customHeight="1">
      <x:c r="A14" s="27"/>
      <x:c r="B14" s="27"/>
      <x:c r="C14" s="27"/>
      <x:c r="D14" s="27"/>
      <x:c r="E14" s="27"/>
    </x:row>
    <x:row r="15" ht="23" customHeight="1">
      <x:c r="A15" s="27"/>
      <x:c r="B15" s="27"/>
      <x:c r="C15" s="27"/>
      <x:c r="D15" s="27"/>
      <x:c r="E15" s="27"/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4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21" hidden="0" customWidth="1"/>
    <x:col min="8" max="8" width="29" hidden="0" customWidth="1"/>
    <x:col min="9" max="9" width="28" hidden="0" customWidth="1"/>
  </x:cols>
  <x:sheetData>
    <x:row r="1" ht="33" customHeight="1">
      <x:c r="A1" s="4" t="str">
        <x:v>SIMULADOR | CORRIDA CURTA SEM PISO NOMINAL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26" t="str">
        <x:v>Informe oferta recebida, distância total exibida, duração exibida e nota. R$/corrida NÃO possui valor mínimo isolado: somente entram critérios proporcionais, limite de nota e semáforo.</x:v>
      </x:c>
      <x:c r="B2" s="26"/>
      <x:c r="C2" s="26"/>
      <x:c r="D2" s="26"/>
      <x:c r="E2" s="26"/>
      <x:c r="F2" s="26"/>
      <x:c r="G2" s="26"/>
      <x:c r="H2" s="26"/>
      <x:c r="I2" s="26"/>
    </x:row>
    <x:row r="3" ht="23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3" customHeight="1">
      <x:c r="A4" s="27"/>
      <x:c r="B4" s="27"/>
      <x:c r="C4" s="27"/>
      <x:c r="D4" s="27"/>
      <x:c r="E4" s="27"/>
      <x:c r="F4" s="27"/>
      <x:c r="G4" s="27"/>
      <x:c r="H4" s="27"/>
      <x:c r="I4" s="27"/>
    </x:row>
    <x:row r="5" ht="23" customHeight="1">
      <x:c r="A5" s="27" t="str">
        <x:v>Repasse recebido (R$/corrida)</x:v>
      </x:c>
      <x:c r="B5" s="144" t="n">
        <x:v>2</x:v>
      </x:c>
      <x:c r="C5" s="27"/>
      <x:c r="D5" s="27"/>
      <x:c r="E5" s="27"/>
      <x:c r="F5" s="27"/>
      <x:c r="G5" s="27"/>
      <x:c r="H5" s="27"/>
      <x:c r="I5" s="27"/>
    </x:row>
    <x:row r="6" ht="23" customHeight="1">
      <x:c r="A6" s="27" t="str">
        <x:v>Distância analisada na oferta (km)</x:v>
      </x:c>
      <x:c r="B6" s="34" t="n">
        <x:v>0.4</x:v>
      </x:c>
      <x:c r="C6" s="27"/>
      <x:c r="D6" s="27"/>
      <x:c r="E6" s="27"/>
      <x:c r="F6" s="27"/>
      <x:c r="G6" s="27"/>
      <x:c r="H6" s="27"/>
      <x:c r="I6" s="27"/>
    </x:row>
    <x:row r="7" ht="23" customHeight="1">
      <x:c r="A7" s="27" t="str">
        <x:v>Duração indicada na oferta (min)</x:v>
      </x:c>
      <x:c r="B7" s="34" t="n">
        <x:v>2</x:v>
      </x:c>
      <x:c r="C7" s="27"/>
      <x:c r="D7" s="27"/>
      <x:c r="E7" s="27"/>
      <x:c r="F7" s="27"/>
      <x:c r="G7" s="27"/>
      <x:c r="H7" s="27"/>
      <x:c r="I7" s="27"/>
    </x:row>
    <x:row r="8" ht="23" customHeight="1">
      <x:c r="A8" s="27" t="str">
        <x:v>Nota do passageiro</x:v>
      </x:c>
      <x:c r="B8" s="34" t="n">
        <x:v>4.85</x:v>
      </x:c>
      <x:c r="C8" s="27"/>
      <x:c r="D8" s="27"/>
      <x:c r="E8" s="27"/>
      <x:c r="F8" s="27"/>
      <x:c r="G8" s="27"/>
      <x:c r="H8" s="27"/>
      <x:c r="I8" s="27"/>
    </x:row>
    <x:row r="9" ht="23" customHeight="1">
      <x:c r="A9" s="27" t="str">
        <x:v>Apuração por valor absoluto da corrida</x:v>
      </x:c>
      <x:c r="B9" s="27" t="str">
        <x:v>NÃO UTILIZADA</x:v>
      </x:c>
      <x:c r="C9" s="27"/>
      <x:c r="D9" s="27"/>
      <x:c r="E9" s="27"/>
      <x:c r="F9" s="27"/>
      <x:c r="G9" s="27"/>
      <x:c r="H9" s="27"/>
      <x:c r="I9" s="27"/>
    </x:row>
    <x:row r="10" ht="23" customHeight="1">
      <x:c r="A10" s="27"/>
      <x:c r="B10" s="27"/>
      <x:c r="C10" s="27"/>
      <x:c r="D10" s="27"/>
      <x:c r="E10" s="27"/>
      <x:c r="F10" s="27"/>
      <x:c r="G10" s="27"/>
      <x:c r="H10" s="27"/>
      <x:c r="I10" s="27"/>
    </x:row>
    <x:row r="11" ht="54" customHeight="1">
      <x:c r="A11" s="17" t="str">
        <x:v>Perfil</x:v>
      </x:c>
      <x:c r="B11" s="17" t="str">
        <x:v>Jornada (h/dia)</x:v>
      </x:c>
      <x:c r="C11" s="17" t="str">
        <x:v>Meta</x:v>
      </x:c>
      <x:c r="D11" s="17" t="str">
        <x:v>Ganho da oferta (R$/km)</x:v>
      </x:c>
      <x:c r="E11" s="17" t="str">
        <x:v>Ganho da oferta (R$/h)</x:v>
      </x:c>
      <x:c r="F11" s="17" t="str">
        <x:v>Lucro simulado Rota Pro (%)</x:v>
      </x:c>
      <x:c r="G11" s="17" t="str">
        <x:v>Nota suficiente?</x:v>
      </x:c>
      <x:c r="H11" s="17" t="str">
        <x:v>Atende TODOS os filtros?</x:v>
      </x:c>
      <x:c r="I11" s="17" t="str">
        <x:v>Limite de custo (R$/km)</x:v>
      </x:c>
    </x:row>
    <x:row r="12" ht="23" customHeight="1">
      <x:c r="A12" s="27" t="str">
        <x:f>RotaPro!A6</x:f>
        <x:v>Otimista</x:v>
      </x:c>
      <x:c r="B12" s="27" t="n">
        <x:f>RotaPro!B6</x:f>
        <x:v>3</x:v>
      </x:c>
      <x:c r="C12" s="27" t="str">
        <x:f>RotaPro!C6</x:f>
        <x:v>15% SM</x:v>
      </x:c>
      <x:c r="D12" s="131" t="n">
        <x:f>$B$5/$B$6</x:f>
        <x:v>5</x:v>
      </x:c>
      <x:c r="E12" s="131" t="n">
        <x:f>$B$5/($B$7/60)</x:f>
        <x:v>60</x:v>
      </x:c>
      <x:c r="F12" s="162" t="n">
        <x:f>1-RotaPro!K6/D12</x:f>
        <x:v>0.5330649793203592</x:v>
      </x:c>
      <x:c r="G12" s="27" t="str">
        <x:f>IF($B$8&gt;=RotaPro!D6,"SIM","NÃO")</x:f>
        <x:v>SIM</x:v>
      </x:c>
      <x:c r="H12" s="27" t="str">
        <x:f>IF(AND(G12="SIM",D12&gt;=RotaPro!E6,E12&gt;=RotaPro!F6,F12&gt;=RotaPro!G6),"VERDE (SIMULADO)","NÃO VERDE")</x:f>
        <x:v>VERDE (SIMULADO)</x:v>
      </x:c>
      <x:c r="I12" s="131" t="n">
        <x:f>RotaPro!K6</x:f>
        <x:v>2.334675103398204</x:v>
      </x:c>
    </x:row>
    <x:row r="13" ht="23" customHeight="1">
      <x:c r="A13" s="27" t="str">
        <x:f>RotaPro!A7</x:f>
        <x:v>Otimista</x:v>
      </x:c>
      <x:c r="B13" s="27" t="n">
        <x:f>RotaPro!B7</x:f>
        <x:v>3</x:v>
      </x:c>
      <x:c r="C13" s="27" t="str">
        <x:f>RotaPro!C7</x:f>
        <x:v>100% SM</x:v>
      </x:c>
      <x:c r="D13" s="131" t="n">
        <x:f>$B$5/$B$6</x:f>
        <x:v>5</x:v>
      </x:c>
      <x:c r="E13" s="131" t="n">
        <x:f>$B$5/($B$7/60)</x:f>
        <x:v>60</x:v>
      </x:c>
      <x:c r="F13" s="162" t="n">
        <x:f>1-RotaPro!K7/D13</x:f>
        <x:v>0.4509346560675598</x:v>
      </x:c>
      <x:c r="G13" s="27" t="str">
        <x:f>IF($B$8&gt;=RotaPro!D7,"SIM","NÃO")</x:f>
        <x:v>SIM</x:v>
      </x:c>
      <x:c r="H13" s="27" t="str">
        <x:f>IF(AND(G13="SIM",D13&gt;=RotaPro!E7,E13&gt;=RotaPro!F7,F13&gt;=RotaPro!G7),"VERDE (SIMULADO)","NÃO VERDE")</x:f>
        <x:v>NÃO VERDE</x:v>
      </x:c>
      <x:c r="I13" s="131" t="n">
        <x:f>RotaPro!K7</x:f>
        <x:v>2.7453267196622013</x:v>
      </x:c>
    </x:row>
    <x:row r="14" ht="23" customHeight="1">
      <x:c r="A14" s="27" t="str">
        <x:f>RotaPro!A8</x:f>
        <x:v>Otimista</x:v>
      </x:c>
      <x:c r="B14" s="27" t="n">
        <x:f>RotaPro!B8</x:f>
        <x:v>6</x:v>
      </x:c>
      <x:c r="C14" s="27" t="str">
        <x:f>RotaPro!C8</x:f>
        <x:v>15% SM</x:v>
      </x:c>
      <x:c r="D14" s="131" t="n">
        <x:f>$B$5/$B$6</x:f>
        <x:v>5</x:v>
      </x:c>
      <x:c r="E14" s="131" t="n">
        <x:f>$B$5/($B$7/60)</x:f>
        <x:v>60</x:v>
      </x:c>
      <x:c r="F14" s="162" t="n">
        <x:f>1-RotaPro!K8/D14</x:f>
        <x:v>0.6982762913130721</x:v>
      </x:c>
      <x:c r="G14" s="27" t="str">
        <x:f>IF($B$8&gt;=RotaPro!D8,"SIM","NÃO")</x:f>
        <x:v>SIM</x:v>
      </x:c>
      <x:c r="H14" s="27" t="str">
        <x:f>IF(AND(G14="SIM",D14&gt;=RotaPro!E8,E14&gt;=RotaPro!F8,F14&gt;=RotaPro!G8),"VERDE (SIMULADO)","NÃO VERDE")</x:f>
        <x:v>VERDE (SIMULADO)</x:v>
      </x:c>
      <x:c r="I14" s="131" t="n">
        <x:f>RotaPro!K8</x:f>
        <x:v>1.5086185434346393</x:v>
      </x:c>
    </x:row>
    <x:row r="15" ht="23" customHeight="1">
      <x:c r="A15" s="27" t="str">
        <x:f>RotaPro!A9</x:f>
        <x:v>Otimista</x:v>
      </x:c>
      <x:c r="B15" s="27" t="n">
        <x:f>RotaPro!B9</x:f>
        <x:v>6</x:v>
      </x:c>
      <x:c r="C15" s="27" t="str">
        <x:f>RotaPro!C9</x:f>
        <x:v>100% SM</x:v>
      </x:c>
      <x:c r="D15" s="131" t="n">
        <x:f>$B$5/$B$6</x:f>
        <x:v>5</x:v>
      </x:c>
      <x:c r="E15" s="131" t="n">
        <x:f>$B$5/($B$7/60)</x:f>
        <x:v>60</x:v>
      </x:c>
      <x:c r="F15" s="162" t="n">
        <x:f>1-RotaPro!K9/D15</x:f>
        <x:v>0.6572111296866725</x:v>
      </x:c>
      <x:c r="G15" s="27" t="str">
        <x:f>IF($B$8&gt;=RotaPro!D9,"SIM","NÃO")</x:f>
        <x:v>SIM</x:v>
      </x:c>
      <x:c r="H15" s="27" t="str">
        <x:f>IF(AND(G15="SIM",D15&gt;=RotaPro!E9,E15&gt;=RotaPro!F9,F15&gt;=RotaPro!G9),"VERDE (SIMULADO)","NÃO VERDE")</x:f>
        <x:v>VERDE (SIMULADO)</x:v>
      </x:c>
      <x:c r="I15" s="131" t="n">
        <x:f>RotaPro!K9</x:f>
        <x:v>1.7139443515666377</x:v>
      </x:c>
    </x:row>
    <x:row r="16" ht="23" customHeight="1">
      <x:c r="A16" s="27" t="str">
        <x:f>RotaPro!A10</x:f>
        <x:v>Otimista</x:v>
      </x:c>
      <x:c r="B16" s="27" t="n">
        <x:f>RotaPro!B10</x:f>
        <x:v>8</x:v>
      </x:c>
      <x:c r="C16" s="27" t="str">
        <x:f>RotaPro!C10</x:f>
        <x:v>15% SM</x:v>
      </x:c>
      <x:c r="D16" s="131" t="n">
        <x:f>$B$5/$B$6</x:f>
        <x:v>5</x:v>
      </x:c>
      <x:c r="E16" s="131" t="n">
        <x:f>$B$5/($B$7/60)</x:f>
        <x:v>60</x:v>
      </x:c>
      <x:c r="F16" s="162" t="n">
        <x:f>1-RotaPro!K10/D16</x:f>
        <x:v>0.7395791193112504</x:v>
      </x:c>
      <x:c r="G16" s="27" t="str">
        <x:f>IF($B$8&gt;=RotaPro!D10,"SIM","NÃO")</x:f>
        <x:v>SIM</x:v>
      </x:c>
      <x:c r="H16" s="27" t="str">
        <x:f>IF(AND(G16="SIM",D16&gt;=RotaPro!E10,E16&gt;=RotaPro!F10,F16&gt;=RotaPro!G10),"VERDE (SIMULADO)","NÃO VERDE")</x:f>
        <x:v>VERDE (SIMULADO)</x:v>
      </x:c>
      <x:c r="I16" s="131" t="n">
        <x:f>RotaPro!K10</x:f>
        <x:v>1.3021044034437477</x:v>
      </x:c>
    </x:row>
    <x:row r="17" ht="23" customHeight="1">
      <x:c r="A17" s="27" t="str">
        <x:f>RotaPro!A11</x:f>
        <x:v>Otimista</x:v>
      </x:c>
      <x:c r="B17" s="27" t="n">
        <x:f>RotaPro!B11</x:f>
        <x:v>8</x:v>
      </x:c>
      <x:c r="C17" s="27" t="str">
        <x:f>RotaPro!C11</x:f>
        <x:v>100% SM</x:v>
      </x:c>
      <x:c r="D17" s="131" t="n">
        <x:f>$B$5/$B$6</x:f>
        <x:v>5</x:v>
      </x:c>
      <x:c r="E17" s="131" t="n">
        <x:f>$B$5/($B$7/60)</x:f>
        <x:v>60</x:v>
      </x:c>
      <x:c r="F17" s="162" t="n">
        <x:f>1-RotaPro!K11/D17</x:f>
        <x:v>0.7087802480914507</x:v>
      </x:c>
      <x:c r="G17" s="27" t="str">
        <x:f>IF($B$8&gt;=RotaPro!D11,"SIM","NÃO")</x:f>
        <x:v>SIM</x:v>
      </x:c>
      <x:c r="H17" s="27" t="str">
        <x:f>IF(AND(G17="SIM",D17&gt;=RotaPro!E11,E17&gt;=RotaPro!F11,F17&gt;=RotaPro!G11),"VERDE (SIMULADO)","NÃO VERDE")</x:f>
        <x:v>VERDE (SIMULADO)</x:v>
      </x:c>
      <x:c r="I17" s="131" t="n">
        <x:f>RotaPro!K11</x:f>
        <x:v>1.4560987595427468</x:v>
      </x:c>
    </x:row>
    <x:row r="18" ht="23" customHeight="1">
      <x:c r="A18" s="27" t="str">
        <x:f>RotaPro!A12</x:f>
        <x:v>Equilibrado</x:v>
      </x:c>
      <x:c r="B18" s="27" t="n">
        <x:f>RotaPro!B12</x:f>
        <x:v>3</x:v>
      </x:c>
      <x:c r="C18" s="27" t="str">
        <x:f>RotaPro!C12</x:f>
        <x:v>15% SM</x:v>
      </x:c>
      <x:c r="D18" s="131" t="n">
        <x:f>$B$5/$B$6</x:f>
        <x:v>5</x:v>
      </x:c>
      <x:c r="E18" s="131" t="n">
        <x:f>$B$5/($B$7/60)</x:f>
        <x:v>60</x:v>
      </x:c>
      <x:c r="F18" s="162" t="n">
        <x:f>1-RotaPro!K12/D18</x:f>
        <x:v>0.4466122712301751</x:v>
      </x:c>
      <x:c r="G18" s="27" t="str">
        <x:f>IF($B$8&gt;=RotaPro!D12,"SIM","NÃO")</x:f>
        <x:v>SIM</x:v>
      </x:c>
      <x:c r="H18" s="27" t="str">
        <x:f>IF(AND(G18="SIM",D18&gt;=RotaPro!E12,E18&gt;=RotaPro!F12,F18&gt;=RotaPro!G12),"VERDE (SIMULADO)","NÃO VERDE")</x:f>
        <x:v>VERDE (SIMULADO)</x:v>
      </x:c>
      <x:c r="I18" s="131" t="n">
        <x:f>RotaPro!K12</x:f>
        <x:v>2.7669386438491244</x:v>
      </x:c>
    </x:row>
    <x:row r="19" ht="23" customHeight="1">
      <x:c r="A19" s="27" t="str">
        <x:f>RotaPro!A13</x:f>
        <x:v>Equilibrado</x:v>
      </x:c>
      <x:c r="B19" s="27" t="n">
        <x:f>RotaPro!B13</x:f>
        <x:v>3</x:v>
      </x:c>
      <x:c r="C19" s="27" t="str">
        <x:f>RotaPro!C13</x:f>
        <x:v>100% SM</x:v>
      </x:c>
      <x:c r="D19" s="131" t="n">
        <x:f>$B$5/$B$6</x:f>
        <x:v>5</x:v>
      </x:c>
      <x:c r="E19" s="131" t="n">
        <x:f>$B$5/($B$7/60)</x:f>
        <x:v>60</x:v>
      </x:c>
      <x:c r="F19" s="162" t="n">
        <x:f>1-RotaPro!K13/D19</x:f>
        <x:v>0.32687732701713546</x:v>
      </x:c>
      <x:c r="G19" s="27" t="str">
        <x:f>IF($B$8&gt;=RotaPro!D13,"SIM","NÃO")</x:f>
        <x:v>SIM</x:v>
      </x:c>
      <x:c r="H19" s="27" t="str">
        <x:f>IF(AND(G19="SIM",D19&gt;=RotaPro!E13,E19&gt;=RotaPro!F13,F19&gt;=RotaPro!G13),"VERDE (SIMULADO)","NÃO VERDE")</x:f>
        <x:v>NÃO VERDE</x:v>
      </x:c>
      <x:c r="I19" s="131" t="n">
        <x:f>RotaPro!K13</x:f>
        <x:v>3.3656133649143225</x:v>
      </x:c>
    </x:row>
    <x:row r="20" ht="23" customHeight="1">
      <x:c r="A20" s="27" t="str">
        <x:f>RotaPro!A14</x:f>
        <x:v>Equilibrado</x:v>
      </x:c>
      <x:c r="B20" s="27" t="n">
        <x:f>RotaPro!B14</x:f>
        <x:v>6</x:v>
      </x:c>
      <x:c r="C20" s="27" t="str">
        <x:f>RotaPro!C14</x:f>
        <x:v>15% SM</x:v>
      </x:c>
      <x:c r="D20" s="131" t="n">
        <x:f>$B$5/$B$6</x:f>
        <x:v>5</x:v>
      </x:c>
      <x:c r="E20" s="131" t="n">
        <x:f>$B$5/($B$7/60)</x:f>
        <x:v>60</x:v>
      </x:c>
      <x:c r="F20" s="162" t="n">
        <x:f>1-RotaPro!K14/D20</x:f>
        <x:v>0.6322014347603867</x:v>
      </x:c>
      <x:c r="G20" s="27" t="str">
        <x:f>IF($B$8&gt;=RotaPro!D14,"SIM","NÃO")</x:f>
        <x:v>SIM</x:v>
      </x:c>
      <x:c r="H20" s="27" t="str">
        <x:f>IF(AND(G20="SIM",D20&gt;=RotaPro!E14,E20&gt;=RotaPro!F14,F20&gt;=RotaPro!G14),"VERDE (SIMULADO)","NÃO VERDE")</x:f>
        <x:v>VERDE (SIMULADO)</x:v>
      </x:c>
      <x:c r="I20" s="131" t="n">
        <x:f>RotaPro!K14</x:f>
        <x:v>1.8389928261980666</x:v>
      </x:c>
    </x:row>
    <x:row r="21" ht="23" customHeight="1">
      <x:c r="A21" s="27" t="str">
        <x:f>RotaPro!A15</x:f>
        <x:v>Equilibrado</x:v>
      </x:c>
      <x:c r="B21" s="27" t="n">
        <x:f>RotaPro!B15</x:f>
        <x:v>6</x:v>
      </x:c>
      <x:c r="C21" s="27" t="str">
        <x:f>RotaPro!C15</x:f>
        <x:v>100% SM</x:v>
      </x:c>
      <x:c r="D21" s="131" t="n">
        <x:f>$B$5/$B$6</x:f>
        <x:v>5</x:v>
      </x:c>
      <x:c r="E21" s="131" t="n">
        <x:f>$B$5/($B$7/60)</x:f>
        <x:v>60</x:v>
      </x:c>
      <x:c r="F21" s="162" t="n">
        <x:f>1-RotaPro!K15/D21</x:f>
        <x:v>0.5723339626538669</x:v>
      </x:c>
      <x:c r="G21" s="27" t="str">
        <x:f>IF($B$8&gt;=RotaPro!D15,"SIM","NÃO")</x:f>
        <x:v>SIM</x:v>
      </x:c>
      <x:c r="H21" s="27" t="str">
        <x:f>IF(AND(G21="SIM",D21&gt;=RotaPro!E15,E21&gt;=RotaPro!F15,F21&gt;=RotaPro!G15),"VERDE (SIMULADO)","NÃO VERDE")</x:f>
        <x:v>VERDE (SIMULADO)</x:v>
      </x:c>
      <x:c r="I21" s="131" t="n">
        <x:f>RotaPro!K15</x:f>
        <x:v>2.1383301867306654</x:v>
      </x:c>
    </x:row>
    <x:row r="22" ht="23" customHeight="1">
      <x:c r="A22" s="27" t="str">
        <x:f>RotaPro!A16</x:f>
        <x:v>Equilibrado</x:v>
      </x:c>
      <x:c r="B22" s="27" t="n">
        <x:f>RotaPro!B16</x:f>
        <x:v>8</x:v>
      </x:c>
      <x:c r="C22" s="27" t="str">
        <x:f>RotaPro!C16</x:f>
        <x:v>15% SM</x:v>
      </x:c>
      <x:c r="D22" s="131" t="n">
        <x:f>$B$5/$B$6</x:f>
        <x:v>5</x:v>
      </x:c>
      <x:c r="E22" s="131" t="n">
        <x:f>$B$5/($B$7/60)</x:f>
        <x:v>60</x:v>
      </x:c>
      <x:c r="F22" s="162" t="n">
        <x:f>1-RotaPro!K16/D22</x:f>
        <x:v>0.6785987256429397</x:v>
      </x:c>
      <x:c r="G22" s="27" t="str">
        <x:f>IF($B$8&gt;=RotaPro!D16,"SIM","NÃO")</x:f>
        <x:v>SIM</x:v>
      </x:c>
      <x:c r="H22" s="27" t="str">
        <x:f>IF(AND(G22="SIM",D22&gt;=RotaPro!E16,E22&gt;=RotaPro!F16,F22&gt;=RotaPro!G16),"VERDE (SIMULADO)","NÃO VERDE")</x:f>
        <x:v>VERDE (SIMULADO)</x:v>
      </x:c>
      <x:c r="I22" s="131" t="n">
        <x:f>RotaPro!K16</x:f>
        <x:v>1.6070063717853018</x:v>
      </x:c>
    </x:row>
    <x:row r="23" ht="23" customHeight="1">
      <x:c r="A23" s="27" t="str">
        <x:f>RotaPro!A17</x:f>
        <x:v>Equilibrado</x:v>
      </x:c>
      <x:c r="B23" s="27" t="n">
        <x:f>RotaPro!B17</x:f>
        <x:v>8</x:v>
      </x:c>
      <x:c r="C23" s="27" t="str">
        <x:f>RotaPro!C17</x:f>
        <x:v>100% SM</x:v>
      </x:c>
      <x:c r="D23" s="131" t="n">
        <x:f>$B$5/$B$6</x:f>
        <x:v>5</x:v>
      </x:c>
      <x:c r="E23" s="131" t="n">
        <x:f>$B$5/($B$7/60)</x:f>
        <x:v>60</x:v>
      </x:c>
      <x:c r="F23" s="162" t="n">
        <x:f>1-RotaPro!K17/D23</x:f>
        <x:v>0.6336981215630498</x:v>
      </x:c>
      <x:c r="G23" s="27" t="str">
        <x:f>IF($B$8&gt;=RotaPro!D17,"SIM","NÃO")</x:f>
        <x:v>SIM</x:v>
      </x:c>
      <x:c r="H23" s="27" t="str">
        <x:f>IF(AND(G23="SIM",D23&gt;=RotaPro!E17,E23&gt;=RotaPro!F17,F23&gt;=RotaPro!G17),"VERDE (SIMULADO)","NÃO VERDE")</x:f>
        <x:v>VERDE (SIMULADO)</x:v>
      </x:c>
      <x:c r="I23" s="131" t="n">
        <x:f>RotaPro!K17</x:f>
        <x:v>1.8315093921847507</x:v>
      </x:c>
    </x:row>
    <x:row r="24" ht="23" customHeight="1">
      <x:c r="A24" s="27" t="str">
        <x:f>RotaPro!A18</x:f>
        <x:v>Pessimista</x:v>
      </x:c>
      <x:c r="B24" s="27" t="n">
        <x:f>RotaPro!B18</x:f>
        <x:v>3</x:v>
      </x:c>
      <x:c r="C24" s="27" t="str">
        <x:f>RotaPro!C18</x:f>
        <x:v>15% SM</x:v>
      </x:c>
      <x:c r="D24" s="131" t="n">
        <x:f>$B$5/$B$6</x:f>
        <x:v>5</x:v>
      </x:c>
      <x:c r="E24" s="131" t="n">
        <x:f>$B$5/($B$7/60)</x:f>
        <x:v>60</x:v>
      </x:c>
      <x:c r="F24" s="162" t="n">
        <x:f>1-RotaPro!K18/D24</x:f>
        <x:v>0.20080689907103444</x:v>
      </x:c>
      <x:c r="G24" s="27" t="str">
        <x:f>IF($B$8&gt;=RotaPro!D18,"SIM","NÃO")</x:f>
        <x:v>SIM</x:v>
      </x:c>
      <x:c r="H24" s="27" t="str">
        <x:f>IF(AND(G24="SIM",D24&gt;=RotaPro!E18,E24&gt;=RotaPro!F18,F24&gt;=RotaPro!G18),"VERDE (SIMULADO)","NÃO VERDE")</x:f>
        <x:v>NÃO VERDE</x:v>
      </x:c>
      <x:c r="I24" s="131" t="n">
        <x:f>RotaPro!K18</x:f>
        <x:v>3.9959655046448277</x:v>
      </x:c>
    </x:row>
    <x:row r="25" ht="23" customHeight="1">
      <x:c r="A25" s="27" t="str">
        <x:f>RotaPro!A19</x:f>
        <x:v>Pessimista</x:v>
      </x:c>
      <x:c r="B25" s="27" t="n">
        <x:f>RotaPro!B19</x:f>
        <x:v>3</x:v>
      </x:c>
      <x:c r="C25" s="27" t="str">
        <x:f>RotaPro!C19</x:f>
        <x:v>100% SM</x:v>
      </x:c>
      <x:c r="D25" s="131" t="n">
        <x:f>$B$5/$B$6</x:f>
        <x:v>5</x:v>
      </x:c>
      <x:c r="E25" s="131" t="n">
        <x:f>$B$5/($B$7/60)</x:f>
        <x:v>60</x:v>
      </x:c>
      <x:c r="F25" s="162" t="n">
        <x:f>1-RotaPro!K19/D25</x:f>
        <x:v>-0.048047568381930805</x:v>
      </x:c>
      <x:c r="G25" s="27" t="str">
        <x:f>IF($B$8&gt;=RotaPro!D19,"SIM","NÃO")</x:f>
        <x:v>SIM</x:v>
      </x:c>
      <x:c r="H25" s="27" t="str">
        <x:f>IF(AND(G25="SIM",D25&gt;=RotaPro!E19,E25&gt;=RotaPro!F19,F25&gt;=RotaPro!G19),"VERDE (SIMULADO)","NÃO VERDE")</x:f>
        <x:v>NÃO VERDE</x:v>
      </x:c>
      <x:c r="I25" s="131" t="n">
        <x:f>RotaPro!K19</x:f>
        <x:v>5.240237841909654</x:v>
      </x:c>
    </x:row>
    <x:row r="26" ht="23" customHeight="1">
      <x:c r="A26" s="27" t="str">
        <x:f>RotaPro!A20</x:f>
        <x:v>Pessimista</x:v>
      </x:c>
      <x:c r="B26" s="27" t="n">
        <x:f>RotaPro!B20</x:f>
        <x:v>6</x:v>
      </x:c>
      <x:c r="C26" s="27" t="str">
        <x:f>RotaPro!C20</x:f>
        <x:v>15% SM</x:v>
      </x:c>
      <x:c r="D26" s="131" t="n">
        <x:f>$B$5/$B$6</x:f>
        <x:v>5</x:v>
      </x:c>
      <x:c r="E26" s="131" t="n">
        <x:f>$B$5/($B$7/60)</x:f>
        <x:v>60</x:v>
      </x:c>
      <x:c r="F26" s="162" t="n">
        <x:f>1-RotaPro!K20/D26</x:f>
        <x:v>0.4713008854329531</x:v>
      </x:c>
      <x:c r="G26" s="27" t="str">
        <x:f>IF($B$8&gt;=RotaPro!D20,"SIM","NÃO")</x:f>
        <x:v>SIM</x:v>
      </x:c>
      <x:c r="H26" s="27" t="str">
        <x:f>IF(AND(G26="SIM",D26&gt;=RotaPro!E20,E26&gt;=RotaPro!F20,F26&gt;=RotaPro!G20),"VERDE (SIMULADO)","NÃO VERDE")</x:f>
        <x:v>VERDE (SIMULADO)</x:v>
      </x:c>
      <x:c r="I26" s="131" t="n">
        <x:f>RotaPro!K20</x:f>
        <x:v>2.6434955728352345</x:v>
      </x:c>
    </x:row>
    <x:row r="27" ht="23" customHeight="1">
      <x:c r="A27" s="27" t="str">
        <x:f>RotaPro!A21</x:f>
        <x:v>Pessimista</x:v>
      </x:c>
      <x:c r="B27" s="27" t="n">
        <x:f>RotaPro!B21</x:f>
        <x:v>6</x:v>
      </x:c>
      <x:c r="C27" s="27" t="str">
        <x:f>RotaPro!C21</x:f>
        <x:v>100% SM</x:v>
      </x:c>
      <x:c r="D27" s="131" t="n">
        <x:f>$B$5/$B$6</x:f>
        <x:v>5</x:v>
      </x:c>
      <x:c r="E27" s="131" t="n">
        <x:f>$B$5/($B$7/60)</x:f>
        <x:v>60</x:v>
      </x:c>
      <x:c r="F27" s="162" t="n">
        <x:f>1-RotaPro!K21/D27</x:f>
        <x:v>0.34687365170647055</x:v>
      </x:c>
      <x:c r="G27" s="27" t="str">
        <x:f>IF($B$8&gt;=RotaPro!D21,"SIM","NÃO")</x:f>
        <x:v>SIM</x:v>
      </x:c>
      <x:c r="H27" s="27" t="str">
        <x:f>IF(AND(G27="SIM",D27&gt;=RotaPro!E21,E27&gt;=RotaPro!F21,F27&gt;=RotaPro!G21),"VERDE (SIMULADO)","NÃO VERDE")</x:f>
        <x:v>NÃO VERDE</x:v>
      </x:c>
      <x:c r="I27" s="131" t="n">
        <x:f>RotaPro!K21</x:f>
        <x:v>3.2656317414676472</x:v>
      </x:c>
    </x:row>
    <x:row r="28" ht="23" customHeight="1">
      <x:c r="A28" s="27" t="str">
        <x:f>RotaPro!A22</x:f>
        <x:v>Pessimista</x:v>
      </x:c>
      <x:c r="B28" s="27" t="n">
        <x:f>RotaPro!B22</x:f>
        <x:v>8</x:v>
      </x:c>
      <x:c r="C28" s="27" t="str">
        <x:f>RotaPro!C22</x:f>
        <x:v>15% SM</x:v>
      </x:c>
      <x:c r="D28" s="131" t="n">
        <x:f>$B$5/$B$6</x:f>
        <x:v>5</x:v>
      </x:c>
      <x:c r="E28" s="131" t="n">
        <x:f>$B$5/($B$7/60)</x:f>
        <x:v>60</x:v>
      </x:c>
      <x:c r="F28" s="162" t="n">
        <x:f>1-RotaPro!K22/D28</x:f>
        <x:v>0.5389243820234328</x:v>
      </x:c>
      <x:c r="G28" s="27" t="str">
        <x:f>IF($B$8&gt;=RotaPro!D22,"SIM","NÃO")</x:f>
        <x:v>SIM</x:v>
      </x:c>
      <x:c r="H28" s="27" t="str">
        <x:f>IF(AND(G28="SIM",D28&gt;=RotaPro!E22,E28&gt;=RotaPro!F22,F28&gt;=RotaPro!G22),"VERDE (SIMULADO)","NÃO VERDE")</x:f>
        <x:v>VERDE (SIMULADO)</x:v>
      </x:c>
      <x:c r="I28" s="131" t="n">
        <x:f>RotaPro!K22</x:f>
        <x:v>2.305378089882836</x:v>
      </x:c>
    </x:row>
    <x:row r="29" ht="23" customHeight="1">
      <x:c r="A29" s="27" t="str">
        <x:f>RotaPro!A23</x:f>
        <x:v>Pessimista</x:v>
      </x:c>
      <x:c r="B29" s="27" t="n">
        <x:f>RotaPro!B23</x:f>
        <x:v>8</x:v>
      </x:c>
      <x:c r="C29" s="27" t="str">
        <x:f>RotaPro!C23</x:f>
        <x:v>100% SM</x:v>
      </x:c>
      <x:c r="D29" s="131" t="n">
        <x:f>$B$5/$B$6</x:f>
        <x:v>5</x:v>
      </x:c>
      <x:c r="E29" s="131" t="n">
        <x:f>$B$5/($B$7/60)</x:f>
        <x:v>60</x:v>
      </x:c>
      <x:c r="F29" s="162" t="n">
        <x:f>1-RotaPro!K23/D29</x:f>
        <x:v>0.4456039567285709</x:v>
      </x:c>
      <x:c r="G29" s="27" t="str">
        <x:f>IF($B$8&gt;=RotaPro!D23,"SIM","NÃO")</x:f>
        <x:v>SIM</x:v>
      </x:c>
      <x:c r="H29" s="27" t="str">
        <x:f>IF(AND(G29="SIM",D29&gt;=RotaPro!E23,E29&gt;=RotaPro!F23,F29&gt;=RotaPro!G23),"VERDE (SIMULADO)","NÃO VERDE")</x:f>
        <x:v>NÃO VERDE</x:v>
      </x:c>
      <x:c r="I29" s="131" t="n">
        <x:f>RotaPro!K23</x:f>
        <x:v>2.7719802163571456</x:v>
      </x:c>
    </x:row>
    <x:row r="30" ht="23" customHeight="1">
      <x:c r="A30" s="27"/>
      <x:c r="B30" s="27"/>
      <x:c r="C30" s="27"/>
      <x:c r="D30" s="27"/>
      <x:c r="E30" s="27"/>
      <x:c r="F30" s="27"/>
      <x:c r="G30" s="27"/>
      <x:c r="H30" s="27"/>
      <x:c r="I30" s="27"/>
    </x:row>
    <x:row r="31" ht="23" customHeight="1">
      <x:c r="A31" s="50" t="str">
        <x:v>O cálculo do lucro (%) é aproximado: lucro ≈ 1 − custo/km informado ÷ receita/km. O algoritmo exato do aplicativo e o custo/km cadastrado precisam ser conferidos.</x:v>
      </x:c>
      <x:c r="B31" s="50"/>
      <x:c r="C31" s="50"/>
      <x:c r="D31" s="50"/>
      <x:c r="E31" s="50"/>
      <x:c r="F31" s="50"/>
      <x:c r="G31" s="50"/>
      <x:c r="H31" s="50"/>
      <x:c r="I31" s="50"/>
    </x:row>
    <x:row r="32" ht="23" customHeight="1">
      <x:c r="A32" s="27"/>
      <x:c r="B32" s="27"/>
      <x:c r="C32" s="27"/>
      <x:c r="D32" s="27"/>
      <x:c r="E32" s="27"/>
      <x:c r="F32" s="27"/>
      <x:c r="G32" s="27"/>
      <x:c r="H32" s="27"/>
      <x:c r="I32" s="27"/>
    </x:row>
  </x:sheetData>
  <x:mergeCells>
    <x:mergeCell ref="A1:I1"/>
    <x:mergeCell ref="A2:I2"/>
    <x:mergeCell ref="A31:I31"/>
  </x:mergeCells>
  <x:conditionalFormatting sqref="H12:H29">
    <x:cfRule type="expression" dxfId="2" priority="1">
      <x:formula>$H12="VERDE (SIMULADO)"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43" hidden="0" customWidth="1"/>
    <x:col min="3" max="3" width="23" hidden="0" customWidth="1"/>
    <x:col min="4" max="4" width="91" hidden="0" customWidth="1"/>
    <x:col min="5" max="5" width="74" hidden="0" customWidth="1"/>
  </x:cols>
  <x:sheetData>
    <x:row r="1" ht="33" customHeight="1">
      <x:c r="A1" s="4" t="str">
        <x:v>FONTES E LIMITAÇÕES | 09/10/2026</x:v>
      </x:c>
      <x:c r="B1" s="4"/>
      <x:c r="C1" s="4"/>
      <x:c r="D1" s="4"/>
      <x:c r="E1" s="4"/>
    </x:row>
    <x:row r="2" ht="34" customHeight="1">
      <x:c r="A2" s="26" t="str">
        <x:v>Referências verificáveis e lacunas atuais. Receitas, produtividade, consumo urbano, manutenção e gastos pessoais estão identificados como cenários ou referências até confirmação.</x:v>
      </x:c>
      <x:c r="B2" s="26"/>
      <x:c r="C2" s="26"/>
      <x:c r="D2" s="26"/>
      <x:c r="E2" s="26"/>
    </x:row>
    <x:row r="3" ht="23" customHeight="1">
      <x:c r="A3" s="27"/>
      <x:c r="B3" s="27"/>
      <x:c r="C3" s="27"/>
      <x:c r="D3" s="27"/>
      <x:c r="E3" s="27"/>
    </x:row>
    <x:row r="4" ht="23" customHeight="1">
      <x:c r="A4" s="27"/>
      <x:c r="B4" s="27"/>
      <x:c r="C4" s="27"/>
      <x:c r="D4" s="27"/>
      <x:c r="E4" s="27"/>
    </x:row>
    <x:row r="5" ht="54" customHeight="1">
      <x:c r="A5" s="17" t="str">
        <x:v>Parâmetro / regra</x:v>
      </x:c>
      <x:c r="B5" s="17" t="str">
        <x:v>Evidência</x:v>
      </x:c>
      <x:c r="C5" s="17" t="str">
        <x:v>Situação</x:v>
      </x:c>
      <x:c r="D5" s="17" t="str">
        <x:v>Fonte conferível</x:v>
      </x:c>
      <x:c r="E5" s="17" t="str">
        <x:v>Limitação para uso no modelo</x:v>
      </x:c>
    </x:row>
    <x:row r="6" ht="39" customHeight="1">
      <x:c r="A6" s="50" t="str">
        <x:v>Salário mínimo: R$ 1.621/mês</x:v>
      </x:c>
      <x:c r="B6" s="50" t="str">
        <x:v>Decreto 12.797/2025 | 2026</x:v>
      </x:c>
      <x:c r="C6" s="50" t="str">
        <x:v>Oficial</x:v>
      </x:c>
      <x:c r="D6" s="50" t="str">
        <x:v>https://planalto.gov.br/ccivil_03/_ato2023-2026/2025/decreto/d12797.htm</x:v>
      </x:c>
      <x:c r="E6" s="50" t="str">
        <x:v>Vigente em 2026; editável para exercícios seguintes.</x:v>
      </x:c>
    </x:row>
    <x:row r="7" ht="39" customHeight="1">
      <x:c r="A7" s="50" t="str">
        <x:v>Licenciamento SP: R$ 174,08/ano</x:v>
      </x:c>
      <x:c r="B7" s="50" t="str">
        <x:v>Divulgação governo de SP | 2026</x:v>
      </x:c>
      <x:c r="C7" s="50" t="str">
        <x:v>Oficial</x:v>
      </x:c>
      <x:c r="D7" s="50" t="str">
        <x:v>https://www.agenciasp.sp.gov.br/mais-de-26-milhoes-de-veiculos-ja-fizeram-licenciamento-de-2026-em-sp/</x:v>
      </x:c>
      <x:c r="E7" s="50" t="str">
        <x:v>Não inclui multas ou outros débitos.</x:v>
      </x:c>
    </x:row>
    <x:row r="8" ht="39" customHeight="1">
      <x:c r="A8" s="50" t="str">
        <x:v>Alíquota IPVA SP: 4%</x:v>
      </x:c>
      <x:c r="B8" s="50" t="str">
        <x:v>Lei paulista 13.296/2008</x:v>
      </x:c>
      <x:c r="C8" s="50" t="str">
        <x:v>Legal</x:v>
      </x:c>
      <x:c r="D8" s="50" t="str">
        <x:v>https://legislacao.fazenda.sp.gov.br/Paginas/lei13296.aspx</x:v>
      </x:c>
      <x:c r="E8" s="50" t="str">
        <x:v>Regra usual para automóvel particular; verificar exceções.</x:v>
      </x:c>
    </x:row>
    <x:row r="9" ht="39" customHeight="1">
      <x:c r="A9" s="50" t="str">
        <x:v>IPVA Yaris SD XL AT 2019: R$ 70.658 venal</x:v>
      </x:c>
      <x:c r="B9" s="50" t="str">
        <x:v>Simulação pública modelo/código | 2026</x:v>
      </x:c>
      <x:c r="C9" s="50" t="str">
        <x:v>Indicativa</x:v>
      </x:c>
      <x:c r="D9" s="50" t="str">
        <x:v>https://www.ipvabr.com.br/IPVA2026/SP/A-TOYOTA/1118980-YARIS-SD-XL-15-AT/2019</x:v>
      </x:c>
      <x:c r="E9" s="50" t="str">
        <x:v>Conferir valor real por Renavam no sistema oficial.</x:v>
      </x:c>
    </x:row>
    <x:row r="10" ht="39" customHeight="1">
      <x:c r="A10" s="50" t="str">
        <x:v>Consulta oficial IPVA 2026</x:v>
      </x:c>
      <x:c r="B10" s="50" t="str">
        <x:v>Resolução SFP-40/2025</x:v>
      </x:c>
      <x:c r="C10" s="50" t="str">
        <x:v>Oficial (método)</x:v>
      </x:c>
      <x:c r="D10" s="50" t="str">
        <x:v>https://legislacao.fazenda.sp.gov.br/Paginas/Resolu%C3%A7%C3%A3o-SFP-40-de-2025.aspx</x:v>
      </x:c>
      <x:c r="E10" s="50" t="str">
        <x:v>Não confundir valor FIPE de outubro/2026 e base de IPVA.</x:v>
      </x:c>
    </x:row>
    <x:row r="11" ht="39" customHeight="1">
      <x:c r="A11" s="50" t="str">
        <x:v>Rota Pro: R$ 97/ano, filtros e custo/km</x:v>
      </x:c>
      <x:c r="B11" s="50" t="str">
        <x:v>Página comercial consultada em outubro/2026</x:v>
      </x:c>
      <x:c r="C11" s="50" t="str">
        <x:v>Preço público</x:v>
      </x:c>
      <x:c r="D11" s="50" t="str">
        <x:v>https://rotapro.app/</x:v>
      </x:c>
      <x:c r="E11" s="50" t="str">
        <x:v>Verificar assinatura contratada e como seu semáforo combina parâmetros.</x:v>
      </x:c>
    </x:row>
    <x:row r="12" ht="39" customHeight="1">
      <x:c r="A12" s="50" t="str">
        <x:v>Yaris Sedan XL 1.5 CVT 2019 | PBEV</x:v>
      </x:c>
      <x:c r="B12" s="50" t="str">
        <x:v>Tabela de eficiência 2019</x:v>
      </x:c>
      <x:c r="C12" s="50" t="str">
        <x:v>Ensaio oficial</x:v>
      </x:c>
      <x:c r="D12" s="50" t="str">
        <x:v>https://www.gov.br/inmetro/pt-br/assuntos/avaliacao-da-conformidade/programa-brasileiro-de-etiquetagem/tabelas-de-eficiencia-energetica/veiculos-automotivos-pbe-veicular/</x:v>
      </x:c>
      <x:c r="E12" s="50" t="str">
        <x:v>Não é rendimento garantido em operação urbana e viagens curtas.</x:v>
      </x:c>
    </x:row>
    <x:row r="13" ht="39" customHeight="1">
      <x:c r="A13" s="50" t="str">
        <x:v>Repasse do motorista, ofertas e aceite</x:v>
      </x:c>
      <x:c r="B13" s="50" t="str">
        <x:v>Premissas em Viagens!A6:N8</x:v>
      </x:c>
      <x:c r="C13" s="50" t="str">
        <x:v>Não medido</x:v>
      </x:c>
      <x:c r="D13" s="50" t="str">
        <x:v>Medição no Rota Pro/Uber Driver</x:v>
      </x:c>
      <x:c r="E13" s="50" t="str">
        <x:v>Valores exibidos em Viagens são cenários editáveis, nunca percentual de repasse presumido.</x:v>
      </x:c>
    </x:row>
    <x:row r="14" ht="39" customHeight="1">
      <x:c r="A14" s="50" t="str">
        <x:v>Preços de gasolina e etanol</x:v>
      </x:c>
      <x:c r="B14" s="50" t="str">
        <x:v>Última referência informada pelo usuário</x:v>
      </x:c>
      <x:c r="C14" s="50" t="str">
        <x:v>Não atualizado</x:v>
      </x:c>
      <x:c r="D14" s="50" t="str">
        <x:v>Cupons/notas fiscais e preço real da bomba</x:v>
      </x:c>
      <x:c r="E14" s="50" t="str">
        <x:v>Não afirmar que são preços de mercado de outubro/2026.</x:v>
      </x:c>
    </x:row>
    <x:row r="15" ht="39" customHeight="1">
      <x:c r="A15" s="50" t="str">
        <x:v>Seguro, prestação e despesa acessória</x:v>
      </x:c>
      <x:c r="B15" s="50" t="str">
        <x:v>Referências fornecidas; não verificadas</x:v>
      </x:c>
      <x:c r="C15" s="50" t="str">
        <x:v>Requer comprovante</x:v>
      </x:c>
      <x:c r="D15" s="50" t="str">
        <x:v>Apólice, contrato de financiamento e notas</x:v>
      </x:c>
      <x:c r="E15" s="50" t="str">
        <x:v>Confirmação individual; zeros de despesas adicionais não representam isenção.</x:v>
      </x:c>
    </x:row>
    <x:row r="16" ht="39" customHeight="1">
      <x:c r="A16" s="50" t="str">
        <x:v>Perímetro ≈8 km e nota ≥4,80</x:v>
      </x:c>
      <x:c r="B16" s="50" t="str">
        <x:v>Critérios operacionais determinados pelo usuário</x:v>
      </x:c>
      <x:c r="C16" s="50" t="str">
        <x:v>Critério obrigatório</x:v>
      </x:c>
      <x:c r="D16" s="50" t="str">
        <x:v>Preferência de operação</x:v>
      </x:c>
      <x:c r="E16" s="50" t="str">
        <x:v>Não confundir limite geográfico com distância da viagem; sem geocerca confirmada.</x:v>
      </x:c>
    </x:row>
    <x:row r="17" ht="23" customHeight="1">
      <x:c r="A17" s="27"/>
      <x:c r="B17" s="27"/>
      <x:c r="C17" s="27"/>
      <x:c r="D17" s="27"/>
      <x:c r="E17" s="27"/>
    </x:row>
    <x:row r="18" ht="23" customHeight="1">
      <x:c r="A18" s="27"/>
      <x:c r="B18" s="27"/>
      <x:c r="C18" s="27"/>
      <x:c r="D18" s="27"/>
      <x:c r="E18" s="27"/>
    </x:row>
  </x:sheetData>
  <x:mergeCells>
    <x:mergeCell ref="A1:E1"/>
    <x:mergeCell ref="A2:E2"/>
  </x:mergeCells>
  <x:pageMargins left="0.7" right="0.7" top="0.75" bottom="0.75" header="0.3" footer="0.3"/>
</x:worksheet>
</file>